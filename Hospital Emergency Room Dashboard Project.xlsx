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B4F7514-3D24-48BC-8542-9823D613F70C}" xr6:coauthVersionLast="47" xr6:coauthVersionMax="47" xr10:uidLastSave="{00000000-0000-0000-0000-000000000000}"/>
  <bookViews>
    <workbookView xWindow="-108" yWindow="-108" windowWidth="23256" windowHeight="12456" tabRatio="923" activeTab="1" xr2:uid="{3B981E20-C631-48DD-880A-F23B83E11AE9}"/>
  </bookViews>
  <sheets>
    <sheet name="Pivot Report" sheetId="1" r:id="rId1"/>
    <sheet name="Dashboard" sheetId="2" r:id="rId2"/>
    <sheet name="Daily ER No of Patient" sheetId="3" r:id="rId3"/>
    <sheet name="Average wait time daily trend" sheetId="4" r:id="rId4"/>
    <sheet name="Satisfaction score daily trends" sheetId="5" r:id="rId5"/>
  </sheets>
  <definedNames>
    <definedName name="Slicer_Date__Month">#N/A</definedName>
    <definedName name="Slicer_Date__Year">#N/A</definedName>
  </definedNames>
  <calcPr calcId="191029"/>
  <pivotCaches>
    <pivotCache cacheId="699" r:id="rId6"/>
    <pivotCache cacheId="702" r:id="rId7"/>
    <pivotCache cacheId="705" r:id="rId8"/>
    <pivotCache cacheId="708" r:id="rId9"/>
    <pivotCache cacheId="711" r:id="rId10"/>
    <pivotCache cacheId="714" r:id="rId11"/>
    <pivotCache cacheId="717" r:id="rId12"/>
    <pivotCache cacheId="720" r:id="rId13"/>
    <pivotCache cacheId="723" r:id="rId14"/>
    <pivotCache cacheId="726" r:id="rId15"/>
    <pivotCache cacheId="729" r:id="rId16"/>
    <pivotCache cacheId="73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f501ab1-be0e-40ca-a296-f61f06d03ac0" name="Hospital Emergency Room Data" connection="Query - Hospital Emergency Room Data"/>
          <x15:modelTable id="Calendar_Table_ffceaf21-4abb-4f06-af85-12c24e2d43d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2" i="1" l="1"/>
  <c r="C23" i="1"/>
  <c r="B23" i="1"/>
  <c r="B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02D2D7-94AD-4240-B737-147065F1081E}" name="Query - Calendar_Table" description="Connection to the 'Calendar_Table' query in the workbook." type="100" refreshedVersion="7" minRefreshableVersion="5">
    <extLst>
      <ext xmlns:x15="http://schemas.microsoft.com/office/spreadsheetml/2010/11/main" uri="{DE250136-89BD-433C-8126-D09CA5730AF9}">
        <x15:connection id="820102aa-2253-4c14-a8a2-61b3adca295b"/>
      </ext>
    </extLst>
  </connection>
  <connection id="2" xr16:uid="{FE85D53D-D0E4-467A-BD4D-3D202E4445F0}"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4257b6a6-8e66-4dd0-b844-bd374bb4d6e1"/>
      </ext>
    </extLst>
  </connection>
  <connection id="3" xr16:uid="{1D49448F-5079-477F-9C18-E6E01F7A900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<sst xmlns="http://schemas.openxmlformats.org/spreadsheetml/2006/main" count="165" uniqueCount="81">
  <si>
    <t>Distinct Count of Patient Id</t>
  </si>
  <si>
    <t>No. of Patient</t>
  </si>
  <si>
    <t>Average of Patient Waittime</t>
  </si>
  <si>
    <t>Average of Patient Satisfaction Score</t>
  </si>
  <si>
    <t>Grand Total</t>
  </si>
  <si>
    <t>Row Labels</t>
  </si>
  <si>
    <t>Showing a daily trend with an area sparklinr to spot pattern like busy days or seasonal trends.</t>
  </si>
  <si>
    <t>Daily trend of numbers of Patient</t>
  </si>
  <si>
    <t>Average waitime of Patient</t>
  </si>
  <si>
    <t>Average Satisfaction Score of Patient</t>
  </si>
  <si>
    <t>Use an area chart to track daily changes and highlight day with longer wait times that might need improvements.</t>
  </si>
  <si>
    <t>Use an area chart to show trends, spot drops in satisfaction, and link them to busy times or challenges.</t>
  </si>
  <si>
    <t>Satisfaction score daily trend</t>
  </si>
  <si>
    <t>Count of Patient Admission Flag</t>
  </si>
  <si>
    <t>Admitted</t>
  </si>
  <si>
    <t>Not Admitted</t>
  </si>
  <si>
    <t>Count of Patient Admission Flag2</t>
  </si>
  <si>
    <t>Admission Status</t>
  </si>
  <si>
    <t>% Status</t>
  </si>
  <si>
    <t xml:space="preserve"> Patient</t>
  </si>
  <si>
    <t>0-9</t>
  </si>
  <si>
    <t>10-19</t>
  </si>
  <si>
    <t>20-29</t>
  </si>
  <si>
    <t>30-39</t>
  </si>
  <si>
    <t>40-49</t>
  </si>
  <si>
    <t>50-59</t>
  </si>
  <si>
    <t>60-69</t>
  </si>
  <si>
    <t>70-79</t>
  </si>
  <si>
    <t>Count of Age Group</t>
  </si>
  <si>
    <t>Male</t>
  </si>
  <si>
    <t>None</t>
  </si>
  <si>
    <t>Delay</t>
  </si>
  <si>
    <t>Ontime</t>
  </si>
  <si>
    <t>Female</t>
  </si>
  <si>
    <t>General Practice</t>
  </si>
  <si>
    <t>Orthopedics</t>
  </si>
  <si>
    <t>Physiotherapy</t>
  </si>
  <si>
    <t>Cardiology</t>
  </si>
  <si>
    <t>Neurology</t>
  </si>
  <si>
    <t>Gastroenterology</t>
  </si>
  <si>
    <t>Renal</t>
  </si>
  <si>
    <t>Age Group wise Analysis</t>
  </si>
  <si>
    <t>Admission Status wise Percentage of Patient</t>
  </si>
  <si>
    <t>Count of Patients attend Status</t>
  </si>
  <si>
    <t>Patient Attend Status</t>
  </si>
  <si>
    <t>Count of Patient Gender</t>
  </si>
  <si>
    <t>Count of Department Referral</t>
  </si>
  <si>
    <t>Gendar Wise Analysis</t>
  </si>
  <si>
    <t>No. of Patient by Department Referal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</si>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</sst>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theme="0" tint="-4.9989318521683403E-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wrapText="1"/>
    </xf>
    <xf numFmtId="0" fontId="1" fillId="3" borderId="0" xfId="0" applyFont="1" applyFill="1" applyAlignment="1">
      <alignment horizontal="center"/>
    </xf>
    <xf numFmtId="0" fontId="0" fillId="3" borderId="0" xfId="0" applyFill="1" applyAlignment="1">
      <alignment horizontal="center"/>
    </xf>
    <xf numFmtId="0" fontId="0" fillId="4" borderId="0" xfId="0" applyFill="1"/>
    <xf numFmtId="10" fontId="0" fillId="0" borderId="0" xfId="0" applyNumberFormat="1"/>
    <xf numFmtId="1" fontId="0" fillId="0" borderId="0" xfId="0" applyNumberFormat="1"/>
    <xf numFmtId="0" fontId="1" fillId="5" borderId="0" xfId="0" applyFont="1" applyFill="1" applyAlignment="1">
      <alignment horizontal="center"/>
    </xf>
    <xf numFmtId="1" fontId="1" fillId="5" borderId="0" xfId="0" applyNumberFormat="1" applyFont="1" applyFill="1" applyAlignment="1">
      <alignment horizontal="center"/>
    </xf>
    <xf numFmtId="9" fontId="1" fillId="5" borderId="0" xfId="0" applyNumberFormat="1" applyFont="1" applyFill="1" applyAlignment="1">
      <alignment horizontal="center"/>
    </xf>
    <xf numFmtId="0" fontId="2" fillId="6" borderId="0" xfId="0" applyFon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vertical="center"/>
    </xf>
  </cellXfs>
  <cellStyles count="1">
    <cellStyle name="Normal" xfId="0" builtinId="0"/>
  </cellStyles>
  <dxfs count="50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1" formatCode="0"/>
    </dxf>
    <dxf>
      <font>
        <b/>
        <color theme="1"/>
      </font>
      <border>
        <bottom style="thin">
          <color theme="5"/>
        </bottom>
        <vertical/>
        <horizontal/>
      </border>
    </dxf>
    <dxf>
      <font>
        <sz val="9"/>
        <color theme="1"/>
      </font>
      <fill>
        <patternFill>
          <bgColor theme="0"/>
        </patternFill>
      </fill>
      <border diagonalUp="0" diagonalDown="0">
        <left/>
        <right/>
        <top/>
        <bottom/>
        <vertical/>
        <horizontal/>
      </border>
    </dxf>
  </dxfs>
  <tableStyles count="1" defaultTableStyle="TableStyleMedium2" defaultPivotStyle="PivotStyleLight16">
    <tableStyle name="My_Style" pivot="0" table="0" count="10" xr9:uid="{34578735-AAC2-4E27-B6ED-06563BAF6917}">
      <tableStyleElement type="wholeTable" dxfId="505"/>
      <tableStyleElement type="headerRow" dxfId="50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Report!PivotTable7</c:name>
    <c:fmtId val="0"/>
  </c:pivotSource>
  <c:chart>
    <c:autoTitleDeleted val="0"/>
    <c:pivotFmts>
      <c:pivotFmt>
        <c:idx val="0"/>
        <c:spPr>
          <a:solidFill>
            <a:schemeClr val="accent6">
              <a:lumMod val="50000"/>
            </a:schemeClr>
          </a:solidFill>
          <a:ln>
            <a:noFill/>
          </a:ln>
          <a:effectLst/>
        </c:spPr>
        <c:marker>
          <c:symbol val="none"/>
        </c:marker>
        <c:dLbl>
          <c:idx val="0"/>
          <c:numFmt formatCode="General"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6">
              <a:lumMod val="50000"/>
            </a:schemeClr>
          </a:solidFill>
          <a:ln>
            <a:noFill/>
          </a:ln>
          <a:effectLst/>
        </c:spPr>
        <c:dLbl>
          <c:idx val="0"/>
          <c:layout>
            <c:manualLayout>
              <c:x val="1.1849621738459163E-3"/>
              <c:y val="-0.11904761904761904"/>
            </c:manualLayout>
          </c:layout>
          <c:numFmt formatCode="General" sourceLinked="0"/>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049174000308786"/>
                  <c:h val="0.4001714071455354"/>
                </c:manualLayout>
              </c15:layout>
              <c15:showDataLabelsRange val="1"/>
            </c:ext>
          </c:extLst>
        </c:dLbl>
      </c:pivotFmt>
    </c:pivotFmts>
    <c:plotArea>
      <c:layout>
        <c:manualLayout>
          <c:layoutTarget val="inner"/>
          <c:xMode val="edge"/>
          <c:yMode val="edge"/>
          <c:x val="1.6596524572359637E-3"/>
          <c:y val="2.2609673790776139E-2"/>
          <c:w val="0.99774470540320381"/>
          <c:h val="0.97739032620922384"/>
        </c:manualLayout>
      </c:layout>
      <c:barChart>
        <c:barDir val="bar"/>
        <c:grouping val="clustered"/>
        <c:varyColors val="0"/>
        <c:ser>
          <c:idx val="0"/>
          <c:order val="0"/>
          <c:tx>
            <c:strRef>
              <c:f>'Pivot Report'!$B$15</c:f>
              <c:strCache>
                <c:ptCount val="1"/>
                <c:pt idx="0">
                  <c:v>Count of Patient Admission Flag</c:v>
                </c:pt>
              </c:strCache>
            </c:strRef>
          </c:tx>
          <c:spPr>
            <a:solidFill>
              <a:schemeClr val="accent6">
                <a:lumMod val="50000"/>
              </a:schemeClr>
            </a:solidFill>
            <a:ln>
              <a:noFill/>
            </a:ln>
            <a:effectLst/>
          </c:spPr>
          <c:invertIfNegative val="0"/>
          <c:dPt>
            <c:idx val="1"/>
            <c:invertIfNegative val="0"/>
            <c:bubble3D val="0"/>
          </c:dPt>
          <c:dLbls>
            <c:dLbl>
              <c:idx val="1"/>
              <c:layout>
                <c:manualLayout>
                  <c:x val="1.1849621738459163E-3"/>
                  <c:y val="-0.11904761904761904"/>
                </c:manualLayout>
              </c:layout>
              <c:numFmt formatCode="General" sourceLinked="0"/>
              <c:spPr>
                <a:noFill/>
                <a:ln>
                  <a:noFill/>
                </a:ln>
                <a:effectLst/>
              </c:spPr>
              <c:txPr>
                <a:bodyPr rot="0" spcFirstLastPara="1" vertOverflow="ellipsis" vert="horz" wrap="non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049174000308786"/>
                      <c:h val="0.4001714071455354"/>
                    </c:manualLayout>
                  </c15:layout>
                  <c15:showDataLabelsRange val="1"/>
                </c:ext>
              </c:extLst>
            </c:dLbl>
            <c:numFmt formatCode="General" sourceLinked="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Report'!$A$16:$A$18</c:f>
              <c:strCache>
                <c:ptCount val="2"/>
                <c:pt idx="0">
                  <c:v>Admitted</c:v>
                </c:pt>
                <c:pt idx="1">
                  <c:v>Not Admitted</c:v>
                </c:pt>
              </c:strCache>
            </c:strRef>
          </c:cat>
          <c:val>
            <c:numRef>
              <c:f>'Pivot Report'!$B$16:$B$18</c:f>
              <c:numCache>
                <c:formatCode>0.00</c:formatCode>
                <c:ptCount val="2"/>
                <c:pt idx="0">
                  <c:v>269</c:v>
                </c:pt>
                <c:pt idx="1">
                  <c:v>244</c:v>
                </c:pt>
              </c:numCache>
            </c:numRef>
          </c:val>
          <c:extLst>
            <c:ext xmlns:c16="http://schemas.microsoft.com/office/drawing/2014/chart" uri="{C3380CC4-5D6E-409C-BE32-E72D297353CC}">
              <c16:uniqueId val="{00000002-7025-4B07-97CB-6975DD256D24}"/>
            </c:ext>
          </c:extLst>
        </c:ser>
        <c:ser>
          <c:idx val="1"/>
          <c:order val="1"/>
          <c:tx>
            <c:strRef>
              <c:f>'Pivot Report'!$C$15</c:f>
              <c:strCache>
                <c:ptCount val="1"/>
                <c:pt idx="0">
                  <c:v>Count of Patient Admission Flag2</c:v>
                </c:pt>
              </c:strCache>
            </c:strRef>
          </c:tx>
          <c:spPr>
            <a:solidFill>
              <a:schemeClr val="accent2"/>
            </a:solidFill>
            <a:ln>
              <a:noFill/>
            </a:ln>
            <a:effectLst/>
          </c:spPr>
          <c:invertIfNegative val="0"/>
          <c:cat>
            <c:strRef>
              <c:f>'Pivot Report'!$A$16:$A$18</c:f>
              <c:strCache>
                <c:ptCount val="2"/>
                <c:pt idx="0">
                  <c:v>Admitted</c:v>
                </c:pt>
                <c:pt idx="1">
                  <c:v>Not Admitted</c:v>
                </c:pt>
              </c:strCache>
            </c:strRef>
          </c:cat>
          <c:val>
            <c:numRef>
              <c:f>'Pivot Report'!$C$16:$C$18</c:f>
              <c:numCache>
                <c:formatCode>0.00%</c:formatCode>
                <c:ptCount val="2"/>
                <c:pt idx="0">
                  <c:v>0.52436647173489281</c:v>
                </c:pt>
                <c:pt idx="1">
                  <c:v>0.47563352826510719</c:v>
                </c:pt>
              </c:numCache>
            </c:numRef>
          </c:val>
          <c:extLst>
            <c:ext xmlns:c16="http://schemas.microsoft.com/office/drawing/2014/chart" uri="{C3380CC4-5D6E-409C-BE32-E72D297353CC}">
              <c16:uniqueId val="{00000003-7025-4B07-97CB-6975DD256D24}"/>
            </c:ext>
          </c:extLst>
        </c:ser>
        <c:dLbls>
          <c:showLegendKey val="0"/>
          <c:showVal val="0"/>
          <c:showCatName val="0"/>
          <c:showSerName val="0"/>
          <c:showPercent val="0"/>
          <c:showBubbleSize val="0"/>
        </c:dLbls>
        <c:gapWidth val="0"/>
        <c:axId val="203683567"/>
        <c:axId val="203680655"/>
      </c:barChart>
      <c:catAx>
        <c:axId val="203683567"/>
        <c:scaling>
          <c:orientation val="minMax"/>
        </c:scaling>
        <c:delete val="1"/>
        <c:axPos val="l"/>
        <c:numFmt formatCode="General" sourceLinked="1"/>
        <c:majorTickMark val="none"/>
        <c:minorTickMark val="none"/>
        <c:tickLblPos val="nextTo"/>
        <c:crossAx val="203680655"/>
        <c:crosses val="autoZero"/>
        <c:auto val="1"/>
        <c:lblAlgn val="ctr"/>
        <c:lblOffset val="100"/>
        <c:noMultiLvlLbl val="0"/>
      </c:catAx>
      <c:valAx>
        <c:axId val="203680655"/>
        <c:scaling>
          <c:orientation val="minMax"/>
        </c:scaling>
        <c:delete val="1"/>
        <c:axPos val="b"/>
        <c:numFmt formatCode="0.00" sourceLinked="1"/>
        <c:majorTickMark val="none"/>
        <c:minorTickMark val="none"/>
        <c:tickLblPos val="nextTo"/>
        <c:crossAx val="20368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Report!PivotTable4</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29805851474448053"/>
          <c:w val="1"/>
          <c:h val="0.70194148525551947"/>
        </c:manualLayout>
      </c:layout>
      <c:areaChart>
        <c:grouping val="standard"/>
        <c:varyColors val="0"/>
        <c:ser>
          <c:idx val="0"/>
          <c:order val="0"/>
          <c:tx>
            <c:strRef>
              <c:f>'Pivot Report'!$G$3</c:f>
              <c:strCache>
                <c:ptCount val="1"/>
                <c:pt idx="0">
                  <c:v>Total</c:v>
                </c:pt>
              </c:strCache>
            </c:strRef>
          </c:tx>
          <c:spPr>
            <a:solidFill>
              <a:schemeClr val="accent1">
                <a:lumMod val="75000"/>
              </a:schemeClr>
            </a:solidFill>
            <a:ln w="25400">
              <a:noFill/>
            </a:ln>
            <a:effectLst/>
          </c:spPr>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8E64-4325-9D41-35EA67C29D11}"/>
            </c:ext>
          </c:extLst>
        </c:ser>
        <c:dLbls>
          <c:showLegendKey val="0"/>
          <c:showVal val="0"/>
          <c:showCatName val="0"/>
          <c:showSerName val="0"/>
          <c:showPercent val="0"/>
          <c:showBubbleSize val="0"/>
        </c:dLbls>
        <c:axId val="1022060800"/>
        <c:axId val="1215607216"/>
      </c:areaChart>
      <c:catAx>
        <c:axId val="1022060800"/>
        <c:scaling>
          <c:orientation val="minMax"/>
        </c:scaling>
        <c:delete val="1"/>
        <c:axPos val="b"/>
        <c:numFmt formatCode="General" sourceLinked="1"/>
        <c:majorTickMark val="out"/>
        <c:minorTickMark val="none"/>
        <c:tickLblPos val="nextTo"/>
        <c:crossAx val="1215607216"/>
        <c:crosses val="autoZero"/>
        <c:auto val="1"/>
        <c:lblAlgn val="ctr"/>
        <c:lblOffset val="100"/>
        <c:noMultiLvlLbl val="0"/>
      </c:catAx>
      <c:valAx>
        <c:axId val="1215607216"/>
        <c:scaling>
          <c:orientation val="minMax"/>
        </c:scaling>
        <c:delete val="1"/>
        <c:axPos val="l"/>
        <c:numFmt formatCode="General" sourceLinked="1"/>
        <c:majorTickMark val="none"/>
        <c:minorTickMark val="none"/>
        <c:tickLblPos val="nextTo"/>
        <c:crossAx val="1022060800"/>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4625172497767676"/>
          <c:w val="1"/>
          <c:h val="0.65374827502232336"/>
        </c:manualLayout>
      </c:layout>
      <c:areaChart>
        <c:grouping val="standard"/>
        <c:varyColors val="0"/>
        <c:ser>
          <c:idx val="0"/>
          <c:order val="0"/>
          <c:tx>
            <c:strRef>
              <c:f>'Pivot Report'!$J$3</c:f>
              <c:strCache>
                <c:ptCount val="1"/>
                <c:pt idx="0">
                  <c:v>Total</c:v>
                </c:pt>
              </c:strCache>
            </c:strRef>
          </c:tx>
          <c:spPr>
            <a:solidFill>
              <a:schemeClr val="accent1">
                <a:lumMod val="75000"/>
              </a:schemeClr>
            </a:solidFill>
            <a:ln w="25400">
              <a:noFill/>
            </a:ln>
            <a:effectLst/>
          </c:spPr>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FC51-43CA-867C-32BB3EEE9A00}"/>
            </c:ext>
          </c:extLst>
        </c:ser>
        <c:dLbls>
          <c:showLegendKey val="0"/>
          <c:showVal val="0"/>
          <c:showCatName val="0"/>
          <c:showSerName val="0"/>
          <c:showPercent val="0"/>
          <c:showBubbleSize val="0"/>
        </c:dLbls>
        <c:axId val="2086342608"/>
        <c:axId val="2086352176"/>
      </c:areaChart>
      <c:catAx>
        <c:axId val="2086342608"/>
        <c:scaling>
          <c:orientation val="minMax"/>
        </c:scaling>
        <c:delete val="1"/>
        <c:axPos val="b"/>
        <c:numFmt formatCode="General" sourceLinked="1"/>
        <c:majorTickMark val="out"/>
        <c:minorTickMark val="none"/>
        <c:tickLblPos val="nextTo"/>
        <c:crossAx val="2086352176"/>
        <c:crosses val="autoZero"/>
        <c:auto val="1"/>
        <c:lblAlgn val="ctr"/>
        <c:lblOffset val="100"/>
        <c:noMultiLvlLbl val="0"/>
      </c:catAx>
      <c:valAx>
        <c:axId val="2086352176"/>
        <c:scaling>
          <c:orientation val="minMax"/>
        </c:scaling>
        <c:delete val="1"/>
        <c:axPos val="l"/>
        <c:numFmt formatCode="0.00" sourceLinked="1"/>
        <c:majorTickMark val="none"/>
        <c:minorTickMark val="none"/>
        <c:tickLblPos val="nextTo"/>
        <c:crossAx val="20863426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57140079712246E-3"/>
          <c:y val="0.25741883020289968"/>
          <c:w val="0.99793428599202882"/>
          <c:h val="0.73595271623792624"/>
        </c:manualLayout>
      </c:layout>
      <c:areaChart>
        <c:grouping val="standard"/>
        <c:varyColors val="0"/>
        <c:ser>
          <c:idx val="0"/>
          <c:order val="0"/>
          <c:tx>
            <c:strRef>
              <c:f>'Pivot Report'!$M$3</c:f>
              <c:strCache>
                <c:ptCount val="1"/>
                <c:pt idx="0">
                  <c:v>Total</c:v>
                </c:pt>
              </c:strCache>
            </c:strRef>
          </c:tx>
          <c:spPr>
            <a:solidFill>
              <a:schemeClr val="accent1">
                <a:lumMod val="75000"/>
              </a:schemeClr>
            </a:solidFill>
            <a:ln w="25400">
              <a:noFill/>
            </a:ln>
            <a:effectLst/>
          </c:spPr>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EE8F-42ED-B53C-137A7320995C}"/>
            </c:ext>
          </c:extLst>
        </c:ser>
        <c:dLbls>
          <c:showLegendKey val="0"/>
          <c:showVal val="0"/>
          <c:showCatName val="0"/>
          <c:showSerName val="0"/>
          <c:showPercent val="0"/>
          <c:showBubbleSize val="0"/>
        </c:dLbls>
        <c:axId val="2006140800"/>
        <c:axId val="2006136224"/>
      </c:areaChart>
      <c:catAx>
        <c:axId val="2006140800"/>
        <c:scaling>
          <c:orientation val="minMax"/>
        </c:scaling>
        <c:delete val="1"/>
        <c:axPos val="b"/>
        <c:numFmt formatCode="General" sourceLinked="1"/>
        <c:majorTickMark val="out"/>
        <c:minorTickMark val="none"/>
        <c:tickLblPos val="nextTo"/>
        <c:crossAx val="2006136224"/>
        <c:crosses val="autoZero"/>
        <c:auto val="1"/>
        <c:lblAlgn val="ctr"/>
        <c:lblOffset val="100"/>
        <c:noMultiLvlLbl val="0"/>
      </c:catAx>
      <c:valAx>
        <c:axId val="2006136224"/>
        <c:scaling>
          <c:orientation val="minMax"/>
        </c:scaling>
        <c:delete val="1"/>
        <c:axPos val="l"/>
        <c:numFmt formatCode="0.00" sourceLinked="1"/>
        <c:majorTickMark val="none"/>
        <c:minorTickMark val="none"/>
        <c:tickLblPos val="nextTo"/>
        <c:crossAx val="2006140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435004401879231"/>
          <c:w val="1"/>
          <c:h val="0.56143789236376795"/>
        </c:manualLayout>
      </c:layout>
      <c:barChart>
        <c:barDir val="col"/>
        <c:grouping val="clustered"/>
        <c:varyColors val="0"/>
        <c:ser>
          <c:idx val="0"/>
          <c:order val="0"/>
          <c:tx>
            <c:strRef>
              <c:f>'Pivot Report'!$B$26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Report'!$A$27:$A$35</c:f>
              <c:strCache>
                <c:ptCount val="8"/>
                <c:pt idx="0">
                  <c:v>0-9</c:v>
                </c:pt>
                <c:pt idx="1">
                  <c:v>10-19</c:v>
                </c:pt>
                <c:pt idx="2">
                  <c:v>20-29</c:v>
                </c:pt>
                <c:pt idx="3">
                  <c:v>30-39</c:v>
                </c:pt>
                <c:pt idx="4">
                  <c:v>40-49</c:v>
                </c:pt>
                <c:pt idx="5">
                  <c:v>50-59</c:v>
                </c:pt>
                <c:pt idx="6">
                  <c:v>60-69</c:v>
                </c:pt>
                <c:pt idx="7">
                  <c:v>70-79</c:v>
                </c:pt>
              </c:strCache>
            </c:strRef>
          </c:cat>
          <c:val>
            <c:numRef>
              <c:f>'Pivot Report'!$B$27:$B$35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3396-4A50-B7E2-EFB742B9E58B}"/>
            </c:ext>
          </c:extLst>
        </c:ser>
        <c:dLbls>
          <c:showLegendKey val="0"/>
          <c:showVal val="0"/>
          <c:showCatName val="0"/>
          <c:showSerName val="0"/>
          <c:showPercent val="0"/>
          <c:showBubbleSize val="0"/>
        </c:dLbls>
        <c:gapWidth val="219"/>
        <c:overlap val="-27"/>
        <c:axId val="1211315599"/>
        <c:axId val="1211321423"/>
      </c:barChart>
      <c:catAx>
        <c:axId val="12113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1321423"/>
        <c:crosses val="autoZero"/>
        <c:auto val="1"/>
        <c:lblAlgn val="ctr"/>
        <c:lblOffset val="100"/>
        <c:noMultiLvlLbl val="0"/>
      </c:catAx>
      <c:valAx>
        <c:axId val="1211321423"/>
        <c:scaling>
          <c:orientation val="minMax"/>
        </c:scaling>
        <c:delete val="1"/>
        <c:axPos val="l"/>
        <c:numFmt formatCode="0" sourceLinked="1"/>
        <c:majorTickMark val="none"/>
        <c:minorTickMark val="none"/>
        <c:tickLblPos val="nextTo"/>
        <c:crossAx val="121131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406962951746417"/>
          <c:y val="0.17995249440683384"/>
          <c:w val="0.63175222087623661"/>
          <c:h val="0.72733097016009529"/>
        </c:manualLayout>
      </c:layout>
      <c:pieChart>
        <c:varyColors val="1"/>
        <c:ser>
          <c:idx val="0"/>
          <c:order val="0"/>
          <c:tx>
            <c:strRef>
              <c:f>'Pivot Report'!$B$39</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Report'!$A$40:$A$42</c:f>
              <c:strCache>
                <c:ptCount val="2"/>
                <c:pt idx="0">
                  <c:v>Delay</c:v>
                </c:pt>
                <c:pt idx="1">
                  <c:v>Ontime</c:v>
                </c:pt>
              </c:strCache>
            </c:strRef>
          </c:cat>
          <c:val>
            <c:numRef>
              <c:f>'Pivot Report'!$B$40:$B$42</c:f>
              <c:numCache>
                <c:formatCode>0</c:formatCode>
                <c:ptCount val="2"/>
                <c:pt idx="0">
                  <c:v>316</c:v>
                </c:pt>
                <c:pt idx="1">
                  <c:v>197</c:v>
                </c:pt>
              </c:numCache>
            </c:numRef>
          </c:val>
          <c:extLst>
            <c:ext xmlns:c16="http://schemas.microsoft.com/office/drawing/2014/chart" uri="{C3380CC4-5D6E-409C-BE32-E72D297353CC}">
              <c16:uniqueId val="{00000005-3E27-4EDE-B0C4-0897FCF2B3B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6.3547345043408069E-3"/>
          <c:y val="9.3283582089552231E-3"/>
          <c:w val="0.65075206945285691"/>
          <c:h val="0.1556745213121422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Report!PivotTable10</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734003516550722"/>
          <c:y val="0.17237557292278763"/>
          <c:w val="0.62616417573599481"/>
          <c:h val="0.73364011634739701"/>
        </c:manualLayout>
      </c:layout>
      <c:doughnutChart>
        <c:varyColors val="1"/>
        <c:ser>
          <c:idx val="0"/>
          <c:order val="0"/>
          <c:tx>
            <c:strRef>
              <c:f>'Pivot Report'!$B$46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Report'!$A$47:$A$49</c:f>
              <c:strCache>
                <c:ptCount val="2"/>
                <c:pt idx="0">
                  <c:v>Female</c:v>
                </c:pt>
                <c:pt idx="1">
                  <c:v>Male</c:v>
                </c:pt>
              </c:strCache>
            </c:strRef>
          </c:cat>
          <c:val>
            <c:numRef>
              <c:f>'Pivot Report'!$B$47:$B$49</c:f>
              <c:numCache>
                <c:formatCode>0</c:formatCode>
                <c:ptCount val="2"/>
                <c:pt idx="0">
                  <c:v>241</c:v>
                </c:pt>
                <c:pt idx="1">
                  <c:v>272</c:v>
                </c:pt>
              </c:numCache>
            </c:numRef>
          </c:val>
          <c:extLst>
            <c:ext xmlns:c16="http://schemas.microsoft.com/office/drawing/2014/chart" uri="{C3380CC4-5D6E-409C-BE32-E72D297353CC}">
              <c16:uniqueId val="{00000005-33C1-4E42-B582-E7E113F495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2.9544577821144133E-3"/>
          <c:y val="0"/>
          <c:w val="0.62085861878730131"/>
          <c:h val="0.1574171465507110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14848143982002"/>
          <c:y val="1.9435653340760056E-2"/>
          <c:w val="0.66300679806328555"/>
          <c:h val="0.83427602096361753"/>
        </c:manualLayout>
      </c:layout>
      <c:barChart>
        <c:barDir val="bar"/>
        <c:grouping val="clustered"/>
        <c:varyColors val="0"/>
        <c:ser>
          <c:idx val="0"/>
          <c:order val="0"/>
          <c:tx>
            <c:strRef>
              <c:f>'Pivot Report'!$B$53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Report'!$B$54:$B$62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A9D6-48F1-B64F-E14BB10D36E2}"/>
            </c:ext>
          </c:extLst>
        </c:ser>
        <c:dLbls>
          <c:showLegendKey val="0"/>
          <c:showVal val="0"/>
          <c:showCatName val="0"/>
          <c:showSerName val="0"/>
          <c:showPercent val="0"/>
          <c:showBubbleSize val="0"/>
        </c:dLbls>
        <c:gapWidth val="100"/>
        <c:axId val="1523874431"/>
        <c:axId val="1523870687"/>
      </c:barChart>
      <c:catAx>
        <c:axId val="152387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70687"/>
        <c:crosses val="autoZero"/>
        <c:auto val="1"/>
        <c:lblAlgn val="ctr"/>
        <c:lblOffset val="100"/>
        <c:noMultiLvlLbl val="0"/>
      </c:catAx>
      <c:valAx>
        <c:axId val="15238706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7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41611458420517E-2"/>
          <c:y val="0.15335648148148148"/>
          <c:w val="0.94090807639233154"/>
          <c:h val="0.74305737824438611"/>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F8C-47FF-8317-3339BE0039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2060800"/>
        <c:axId val="1215607216"/>
      </c:areaChart>
      <c:catAx>
        <c:axId val="1022060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5607216"/>
        <c:crosses val="autoZero"/>
        <c:auto val="1"/>
        <c:lblAlgn val="ctr"/>
        <c:lblOffset val="100"/>
        <c:noMultiLvlLbl val="0"/>
      </c:catAx>
      <c:valAx>
        <c:axId val="1215607216"/>
        <c:scaling>
          <c:orientation val="minMax"/>
        </c:scaling>
        <c:delete val="1"/>
        <c:axPos val="l"/>
        <c:numFmt formatCode="General" sourceLinked="1"/>
        <c:majorTickMark val="out"/>
        <c:minorTickMark val="none"/>
        <c:tickLblPos val="nextTo"/>
        <c:crossAx val="1022060800"/>
        <c:crosses val="autoZero"/>
        <c:crossBetween val="midCat"/>
      </c:valAx>
      <c:spPr>
        <a:noFill/>
        <a:ln>
          <a:noFill/>
        </a:ln>
        <a:effectLst/>
      </c:spPr>
    </c:plotArea>
    <c:plotVisOnly val="1"/>
    <c:dispBlanksAs val="zero"/>
    <c:showDLblsOverMax val="0"/>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761385494651481"/>
          <c:w val="1"/>
          <c:h val="0.74455092278667279"/>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65D1-426E-8EAC-FE0750C5955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6342608"/>
        <c:axId val="2086352176"/>
      </c:areaChart>
      <c:catAx>
        <c:axId val="20863426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6352176"/>
        <c:crosses val="autoZero"/>
        <c:auto val="1"/>
        <c:lblAlgn val="ctr"/>
        <c:lblOffset val="100"/>
        <c:noMultiLvlLbl val="0"/>
      </c:catAx>
      <c:valAx>
        <c:axId val="2086352176"/>
        <c:scaling>
          <c:orientation val="minMax"/>
        </c:scaling>
        <c:delete val="1"/>
        <c:axPos val="l"/>
        <c:numFmt formatCode="0.00" sourceLinked="1"/>
        <c:majorTickMark val="out"/>
        <c:minorTickMark val="none"/>
        <c:tickLblPos val="nextTo"/>
        <c:crossAx val="20863426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66758775380532E-2"/>
          <c:y val="0.15942028985507245"/>
          <c:w val="0.93912360264471406"/>
          <c:h val="0.72927262353075428"/>
        </c:manualLayout>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17A6-4791-9C08-6B8B5AA6E67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6340944"/>
        <c:axId val="2086351760"/>
      </c:areaChart>
      <c:catAx>
        <c:axId val="20863409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6351760"/>
        <c:crosses val="autoZero"/>
        <c:auto val="1"/>
        <c:lblAlgn val="ctr"/>
        <c:lblOffset val="100"/>
        <c:noMultiLvlLbl val="0"/>
      </c:catAx>
      <c:valAx>
        <c:axId val="2086351760"/>
        <c:scaling>
          <c:orientation val="minMax"/>
        </c:scaling>
        <c:delete val="1"/>
        <c:axPos val="l"/>
        <c:numFmt formatCode="0.00" sourceLinked="1"/>
        <c:majorTickMark val="out"/>
        <c:minorTickMark val="none"/>
        <c:tickLblPos val="nextTo"/>
        <c:crossAx val="20863409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20</xdr:row>
      <xdr:rowOff>175260</xdr:rowOff>
    </xdr:from>
    <xdr:to>
      <xdr:col>4</xdr:col>
      <xdr:colOff>15240</xdr:colOff>
      <xdr:row>23</xdr:row>
      <xdr:rowOff>0</xdr:rowOff>
    </xdr:to>
    <xdr:graphicFrame macro="">
      <xdr:nvGraphicFramePr>
        <xdr:cNvPr id="2" name="Chart 1">
          <a:extLst>
            <a:ext uri="{FF2B5EF4-FFF2-40B4-BE49-F238E27FC236}">
              <a16:creationId xmlns:a16="http://schemas.microsoft.com/office/drawing/2014/main" id="{93537C69-EDE6-41EB-B02B-BF09B093A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50800</xdr:colOff>
      <xdr:row>0</xdr:row>
      <xdr:rowOff>45720</xdr:rowOff>
    </xdr:from>
    <xdr:to>
      <xdr:col>5</xdr:col>
      <xdr:colOff>599440</xdr:colOff>
      <xdr:row>2</xdr:row>
      <xdr:rowOff>167640</xdr:rowOff>
    </xdr:to>
    <xdr:sp macro="" textlink="">
      <xdr:nvSpPr>
        <xdr:cNvPr id="3" name="Rectangle: Rounded Corners 2">
          <a:extLst>
            <a:ext uri="{FF2B5EF4-FFF2-40B4-BE49-F238E27FC236}">
              <a16:creationId xmlns:a16="http://schemas.microsoft.com/office/drawing/2014/main" id="{A308E902-149E-4C33-AA0E-5960AD53200A}"/>
            </a:ext>
          </a:extLst>
        </xdr:cNvPr>
        <xdr:cNvSpPr/>
      </xdr:nvSpPr>
      <xdr:spPr>
        <a:xfrm>
          <a:off x="50800" y="45720"/>
          <a:ext cx="3596640" cy="487680"/>
        </a:xfrm>
        <a:prstGeom prst="roundRect">
          <a:avLst>
            <a:gd name="adj" fmla="val 1145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6</xdr:col>
      <xdr:colOff>35560</xdr:colOff>
      <xdr:row>0</xdr:row>
      <xdr:rowOff>40640</xdr:rowOff>
    </xdr:from>
    <xdr:to>
      <xdr:col>8</xdr:col>
      <xdr:colOff>223520</xdr:colOff>
      <xdr:row>2</xdr:row>
      <xdr:rowOff>162560</xdr:rowOff>
    </xdr:to>
    <xdr:sp macro="" textlink="">
      <xdr:nvSpPr>
        <xdr:cNvPr id="4" name="Rectangle: Rounded Corners 3">
          <a:extLst>
            <a:ext uri="{FF2B5EF4-FFF2-40B4-BE49-F238E27FC236}">
              <a16:creationId xmlns:a16="http://schemas.microsoft.com/office/drawing/2014/main" id="{F8D4F4C9-BAFE-4C82-864D-29613E205FDC}"/>
            </a:ext>
          </a:extLst>
        </xdr:cNvPr>
        <xdr:cNvSpPr/>
      </xdr:nvSpPr>
      <xdr:spPr>
        <a:xfrm>
          <a:off x="3693160" y="40640"/>
          <a:ext cx="1407160" cy="487680"/>
        </a:xfrm>
        <a:prstGeom prst="roundRect">
          <a:avLst>
            <a:gd name="adj" fmla="val 1145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279400</xdr:colOff>
      <xdr:row>0</xdr:row>
      <xdr:rowOff>45720</xdr:rowOff>
    </xdr:from>
    <xdr:to>
      <xdr:col>11</xdr:col>
      <xdr:colOff>76200</xdr:colOff>
      <xdr:row>7</xdr:row>
      <xdr:rowOff>152400</xdr:rowOff>
    </xdr:to>
    <xdr:sp macro="" textlink="">
      <xdr:nvSpPr>
        <xdr:cNvPr id="5" name="Rectangle: Rounded Corners 4">
          <a:extLst>
            <a:ext uri="{FF2B5EF4-FFF2-40B4-BE49-F238E27FC236}">
              <a16:creationId xmlns:a16="http://schemas.microsoft.com/office/drawing/2014/main" id="{B02D9670-6237-45EF-8533-23A644E6F33B}"/>
            </a:ext>
          </a:extLst>
        </xdr:cNvPr>
        <xdr:cNvSpPr/>
      </xdr:nvSpPr>
      <xdr:spPr>
        <a:xfrm>
          <a:off x="5156200" y="45720"/>
          <a:ext cx="1625600" cy="1386840"/>
        </a:xfrm>
        <a:prstGeom prst="roundRect">
          <a:avLst>
            <a:gd name="adj" fmla="val 407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11</xdr:col>
      <xdr:colOff>130214</xdr:colOff>
      <xdr:row>0</xdr:row>
      <xdr:rowOff>50800</xdr:rowOff>
    </xdr:from>
    <xdr:to>
      <xdr:col>13</xdr:col>
      <xdr:colOff>563880</xdr:colOff>
      <xdr:row>7</xdr:row>
      <xdr:rowOff>157480</xdr:rowOff>
    </xdr:to>
    <xdr:sp macro="" textlink="">
      <xdr:nvSpPr>
        <xdr:cNvPr id="6" name="Rectangle: Rounded Corners 5">
          <a:extLst>
            <a:ext uri="{FF2B5EF4-FFF2-40B4-BE49-F238E27FC236}">
              <a16:creationId xmlns:a16="http://schemas.microsoft.com/office/drawing/2014/main" id="{269B8511-2A58-48B7-881C-91F6E0AB820C}"/>
            </a:ext>
          </a:extLst>
        </xdr:cNvPr>
        <xdr:cNvSpPr/>
      </xdr:nvSpPr>
      <xdr:spPr>
        <a:xfrm>
          <a:off x="6835814" y="50800"/>
          <a:ext cx="1652866" cy="1386840"/>
        </a:xfrm>
        <a:prstGeom prst="roundRect">
          <a:avLst>
            <a:gd name="adj" fmla="val 517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50800</xdr:colOff>
      <xdr:row>3</xdr:row>
      <xdr:rowOff>35560</xdr:rowOff>
    </xdr:from>
    <xdr:to>
      <xdr:col>1</xdr:col>
      <xdr:colOff>116840</xdr:colOff>
      <xdr:row>17</xdr:row>
      <xdr:rowOff>137160</xdr:rowOff>
    </xdr:to>
    <xdr:sp macro="" textlink="">
      <xdr:nvSpPr>
        <xdr:cNvPr id="7" name="Rectangle: Rounded Corners 6">
          <a:extLst>
            <a:ext uri="{FF2B5EF4-FFF2-40B4-BE49-F238E27FC236}">
              <a16:creationId xmlns:a16="http://schemas.microsoft.com/office/drawing/2014/main" id="{CBCCAFE7-A9AF-4D22-8F1E-B1A0E7280E60}"/>
            </a:ext>
          </a:extLst>
        </xdr:cNvPr>
        <xdr:cNvSpPr/>
      </xdr:nvSpPr>
      <xdr:spPr>
        <a:xfrm>
          <a:off x="50800" y="584200"/>
          <a:ext cx="675640" cy="2661920"/>
        </a:xfrm>
        <a:prstGeom prst="roundRect">
          <a:avLst>
            <a:gd name="adj" fmla="val 984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167640</xdr:colOff>
      <xdr:row>3</xdr:row>
      <xdr:rowOff>35560</xdr:rowOff>
    </xdr:from>
    <xdr:to>
      <xdr:col>3</xdr:col>
      <xdr:colOff>355600</xdr:colOff>
      <xdr:row>7</xdr:row>
      <xdr:rowOff>152400</xdr:rowOff>
    </xdr:to>
    <xdr:sp macro="" textlink="">
      <xdr:nvSpPr>
        <xdr:cNvPr id="8" name="Rectangle: Rounded Corners 7">
          <a:extLst>
            <a:ext uri="{FF2B5EF4-FFF2-40B4-BE49-F238E27FC236}">
              <a16:creationId xmlns:a16="http://schemas.microsoft.com/office/drawing/2014/main" id="{1C42B8B8-358E-4591-90CE-7A38059CBD28}"/>
            </a:ext>
          </a:extLst>
        </xdr:cNvPr>
        <xdr:cNvSpPr/>
      </xdr:nvSpPr>
      <xdr:spPr>
        <a:xfrm>
          <a:off x="777240" y="584200"/>
          <a:ext cx="1407160" cy="848360"/>
        </a:xfrm>
        <a:prstGeom prst="roundRect">
          <a:avLst>
            <a:gd name="adj" fmla="val 805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3</xdr:col>
      <xdr:colOff>406400</xdr:colOff>
      <xdr:row>3</xdr:row>
      <xdr:rowOff>25400</xdr:rowOff>
    </xdr:from>
    <xdr:to>
      <xdr:col>5</xdr:col>
      <xdr:colOff>594360</xdr:colOff>
      <xdr:row>7</xdr:row>
      <xdr:rowOff>142240</xdr:rowOff>
    </xdr:to>
    <xdr:sp macro="" textlink="">
      <xdr:nvSpPr>
        <xdr:cNvPr id="9" name="Rectangle: Rounded Corners 8">
          <a:extLst>
            <a:ext uri="{FF2B5EF4-FFF2-40B4-BE49-F238E27FC236}">
              <a16:creationId xmlns:a16="http://schemas.microsoft.com/office/drawing/2014/main" id="{794C0889-002E-4703-ACD9-FC2E0403E840}"/>
            </a:ext>
          </a:extLst>
        </xdr:cNvPr>
        <xdr:cNvSpPr/>
      </xdr:nvSpPr>
      <xdr:spPr>
        <a:xfrm>
          <a:off x="2235200" y="574040"/>
          <a:ext cx="1407160" cy="848360"/>
        </a:xfrm>
        <a:prstGeom prst="roundRect">
          <a:avLst>
            <a:gd name="adj" fmla="val 74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6</xdr:col>
      <xdr:colOff>30480</xdr:colOff>
      <xdr:row>3</xdr:row>
      <xdr:rowOff>20320</xdr:rowOff>
    </xdr:from>
    <xdr:to>
      <xdr:col>8</xdr:col>
      <xdr:colOff>218440</xdr:colOff>
      <xdr:row>7</xdr:row>
      <xdr:rowOff>137160</xdr:rowOff>
    </xdr:to>
    <xdr:sp macro="" textlink="">
      <xdr:nvSpPr>
        <xdr:cNvPr id="10" name="Rectangle: Rounded Corners 9">
          <a:extLst>
            <a:ext uri="{FF2B5EF4-FFF2-40B4-BE49-F238E27FC236}">
              <a16:creationId xmlns:a16="http://schemas.microsoft.com/office/drawing/2014/main" id="{A6ED94BE-E876-43D3-8F7A-656EB68A09DD}"/>
            </a:ext>
          </a:extLst>
        </xdr:cNvPr>
        <xdr:cNvSpPr/>
      </xdr:nvSpPr>
      <xdr:spPr>
        <a:xfrm>
          <a:off x="3688080" y="568960"/>
          <a:ext cx="1407160" cy="848360"/>
        </a:xfrm>
        <a:prstGeom prst="roundRect">
          <a:avLst>
            <a:gd name="adj" fmla="val 745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162560</xdr:colOff>
      <xdr:row>10</xdr:row>
      <xdr:rowOff>162560</xdr:rowOff>
    </xdr:from>
    <xdr:to>
      <xdr:col>8</xdr:col>
      <xdr:colOff>218440</xdr:colOff>
      <xdr:row>17</xdr:row>
      <xdr:rowOff>132080</xdr:rowOff>
    </xdr:to>
    <xdr:sp macro="" textlink="">
      <xdr:nvSpPr>
        <xdr:cNvPr id="19" name="Rectangle: Rounded Corners 18">
          <a:extLst>
            <a:ext uri="{FF2B5EF4-FFF2-40B4-BE49-F238E27FC236}">
              <a16:creationId xmlns:a16="http://schemas.microsoft.com/office/drawing/2014/main" id="{462F750A-63B8-49BE-B2F0-DF2A9BCF4528}"/>
            </a:ext>
          </a:extLst>
        </xdr:cNvPr>
        <xdr:cNvSpPr/>
      </xdr:nvSpPr>
      <xdr:spPr>
        <a:xfrm>
          <a:off x="772160" y="1991360"/>
          <a:ext cx="4323080" cy="1249680"/>
        </a:xfrm>
        <a:prstGeom prst="roundRect">
          <a:avLst>
            <a:gd name="adj" fmla="val 478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269240</xdr:colOff>
      <xdr:row>8</xdr:row>
      <xdr:rowOff>15240</xdr:rowOff>
    </xdr:from>
    <xdr:to>
      <xdr:col>13</xdr:col>
      <xdr:colOff>568960</xdr:colOff>
      <xdr:row>17</xdr:row>
      <xdr:rowOff>127000</xdr:rowOff>
    </xdr:to>
    <xdr:sp macro="" textlink="">
      <xdr:nvSpPr>
        <xdr:cNvPr id="20" name="Rectangle: Rounded Corners 19">
          <a:extLst>
            <a:ext uri="{FF2B5EF4-FFF2-40B4-BE49-F238E27FC236}">
              <a16:creationId xmlns:a16="http://schemas.microsoft.com/office/drawing/2014/main" id="{726653DD-7B7E-4AC8-9266-99791E6238D3}"/>
            </a:ext>
          </a:extLst>
        </xdr:cNvPr>
        <xdr:cNvSpPr/>
      </xdr:nvSpPr>
      <xdr:spPr>
        <a:xfrm>
          <a:off x="5146040" y="1478280"/>
          <a:ext cx="3347720" cy="1757680"/>
        </a:xfrm>
        <a:prstGeom prst="roundRect">
          <a:avLst>
            <a:gd name="adj" fmla="val 3542"/>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4</a:t>
          </a:r>
        </a:p>
      </xdr:txBody>
    </xdr:sp>
    <xdr:clientData/>
  </xdr:twoCellAnchor>
  <xdr:twoCellAnchor>
    <xdr:from>
      <xdr:col>1</xdr:col>
      <xdr:colOff>111760</xdr:colOff>
      <xdr:row>0</xdr:row>
      <xdr:rowOff>50800</xdr:rowOff>
    </xdr:from>
    <xdr:to>
      <xdr:col>5</xdr:col>
      <xdr:colOff>548640</xdr:colOff>
      <xdr:row>1</xdr:row>
      <xdr:rowOff>96520</xdr:rowOff>
    </xdr:to>
    <xdr:sp macro="" textlink="">
      <xdr:nvSpPr>
        <xdr:cNvPr id="24" name="TextBox 23">
          <a:extLst>
            <a:ext uri="{FF2B5EF4-FFF2-40B4-BE49-F238E27FC236}">
              <a16:creationId xmlns:a16="http://schemas.microsoft.com/office/drawing/2014/main" id="{493F77B5-4F6E-4BAD-8FA5-95A4AACB76F2}"/>
            </a:ext>
          </a:extLst>
        </xdr:cNvPr>
        <xdr:cNvSpPr txBox="1"/>
      </xdr:nvSpPr>
      <xdr:spPr>
        <a:xfrm>
          <a:off x="721360" y="50800"/>
          <a:ext cx="28752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Hospital</a:t>
          </a:r>
          <a:r>
            <a:rPr lang="en-IN" sz="1400" b="1" baseline="0"/>
            <a:t> Emergency Room Dashboard</a:t>
          </a:r>
          <a:endParaRPr lang="en-IN" sz="1400" b="1"/>
        </a:p>
      </xdr:txBody>
    </xdr:sp>
    <xdr:clientData/>
  </xdr:twoCellAnchor>
  <xdr:twoCellAnchor editAs="oneCell">
    <xdr:from>
      <xdr:col>0</xdr:col>
      <xdr:colOff>0</xdr:colOff>
      <xdr:row>0</xdr:row>
      <xdr:rowOff>30480</xdr:rowOff>
    </xdr:from>
    <xdr:to>
      <xdr:col>1</xdr:col>
      <xdr:colOff>284480</xdr:colOff>
      <xdr:row>3</xdr:row>
      <xdr:rowOff>35560</xdr:rowOff>
    </xdr:to>
    <xdr:pic>
      <xdr:nvPicPr>
        <xdr:cNvPr id="26" name="Picture 25">
          <a:extLst>
            <a:ext uri="{FF2B5EF4-FFF2-40B4-BE49-F238E27FC236}">
              <a16:creationId xmlns:a16="http://schemas.microsoft.com/office/drawing/2014/main" id="{BC796E88-D437-484C-B9CA-3E9147DC78C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224" t="1190" r="-3730" b="-1190"/>
        <a:stretch/>
      </xdr:blipFill>
      <xdr:spPr>
        <a:xfrm>
          <a:off x="0" y="30480"/>
          <a:ext cx="894080" cy="553720"/>
        </a:xfrm>
        <a:prstGeom prst="rect">
          <a:avLst/>
        </a:prstGeom>
      </xdr:spPr>
    </xdr:pic>
    <xdr:clientData/>
  </xdr:twoCellAnchor>
  <xdr:twoCellAnchor>
    <xdr:from>
      <xdr:col>1</xdr:col>
      <xdr:colOff>142240</xdr:colOff>
      <xdr:row>1</xdr:row>
      <xdr:rowOff>137160</xdr:rowOff>
    </xdr:from>
    <xdr:to>
      <xdr:col>5</xdr:col>
      <xdr:colOff>543560</xdr:colOff>
      <xdr:row>2</xdr:row>
      <xdr:rowOff>132080</xdr:rowOff>
    </xdr:to>
    <xdr:sp macro="" textlink="">
      <xdr:nvSpPr>
        <xdr:cNvPr id="27" name="TextBox 26">
          <a:extLst>
            <a:ext uri="{FF2B5EF4-FFF2-40B4-BE49-F238E27FC236}">
              <a16:creationId xmlns:a16="http://schemas.microsoft.com/office/drawing/2014/main" id="{8FC13905-A598-4E70-B54F-65E5208F04A8}"/>
            </a:ext>
          </a:extLst>
        </xdr:cNvPr>
        <xdr:cNvSpPr txBox="1"/>
      </xdr:nvSpPr>
      <xdr:spPr>
        <a:xfrm>
          <a:off x="751840" y="320040"/>
          <a:ext cx="283972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Monthly</a:t>
          </a:r>
          <a:r>
            <a:rPr lang="en-IN" sz="1000" b="0" baseline="0"/>
            <a:t> Report</a:t>
          </a:r>
          <a:endParaRPr lang="en-IN" sz="1000" b="0"/>
        </a:p>
      </xdr:txBody>
    </xdr:sp>
    <xdr:clientData/>
  </xdr:twoCellAnchor>
  <xdr:twoCellAnchor>
    <xdr:from>
      <xdr:col>1</xdr:col>
      <xdr:colOff>203200</xdr:colOff>
      <xdr:row>3</xdr:row>
      <xdr:rowOff>55880</xdr:rowOff>
    </xdr:from>
    <xdr:to>
      <xdr:col>3</xdr:col>
      <xdr:colOff>325120</xdr:colOff>
      <xdr:row>4</xdr:row>
      <xdr:rowOff>167640</xdr:rowOff>
    </xdr:to>
    <xdr:sp macro="" textlink="'Pivot Report'!A4">
      <xdr:nvSpPr>
        <xdr:cNvPr id="28" name="TextBox 27">
          <a:extLst>
            <a:ext uri="{FF2B5EF4-FFF2-40B4-BE49-F238E27FC236}">
              <a16:creationId xmlns:a16="http://schemas.microsoft.com/office/drawing/2014/main" id="{4B30E165-CB5D-4426-8D9C-E0625B7F0391}"/>
            </a:ext>
          </a:extLst>
        </xdr:cNvPr>
        <xdr:cNvSpPr txBox="1"/>
      </xdr:nvSpPr>
      <xdr:spPr>
        <a:xfrm>
          <a:off x="812800" y="604520"/>
          <a:ext cx="134112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E28317-D6F4-489D-8757-142C8830235B}" type="TxLink">
            <a:rPr lang="en-US" sz="1400" b="0" i="0" u="none" strike="noStrike">
              <a:solidFill>
                <a:srgbClr val="000000"/>
              </a:solidFill>
              <a:latin typeface="Calibri"/>
              <a:ea typeface="Calibri"/>
              <a:cs typeface="Calibri"/>
            </a:rPr>
            <a:pPr algn="ctr"/>
            <a:t>513</a:t>
          </a:fld>
          <a:endParaRPr lang="en-US" sz="1400"/>
        </a:p>
      </xdr:txBody>
    </xdr:sp>
    <xdr:clientData/>
  </xdr:twoCellAnchor>
  <xdr:twoCellAnchor>
    <xdr:from>
      <xdr:col>1</xdr:col>
      <xdr:colOff>208280</xdr:colOff>
      <xdr:row>4</xdr:row>
      <xdr:rowOff>127000</xdr:rowOff>
    </xdr:from>
    <xdr:to>
      <xdr:col>3</xdr:col>
      <xdr:colOff>330200</xdr:colOff>
      <xdr:row>6</xdr:row>
      <xdr:rowOff>10160</xdr:rowOff>
    </xdr:to>
    <xdr:sp macro="" textlink="'Pivot Report'!A4">
      <xdr:nvSpPr>
        <xdr:cNvPr id="29" name="TextBox 28">
          <a:extLst>
            <a:ext uri="{FF2B5EF4-FFF2-40B4-BE49-F238E27FC236}">
              <a16:creationId xmlns:a16="http://schemas.microsoft.com/office/drawing/2014/main" id="{FEF98488-CBA7-4635-B5D6-2D1AFF382649}"/>
            </a:ext>
          </a:extLst>
        </xdr:cNvPr>
        <xdr:cNvSpPr txBox="1"/>
      </xdr:nvSpPr>
      <xdr:spPr>
        <a:xfrm>
          <a:off x="817880" y="858520"/>
          <a:ext cx="1341120"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800">
              <a:solidFill>
                <a:schemeClr val="dk1"/>
              </a:solidFill>
              <a:latin typeface="+mn-lt"/>
              <a:ea typeface="+mn-ea"/>
              <a:cs typeface="+mn-cs"/>
            </a:rPr>
            <a:t>No. of Patient</a:t>
          </a:r>
        </a:p>
      </xdr:txBody>
    </xdr:sp>
    <xdr:clientData/>
  </xdr:twoCellAnchor>
  <xdr:twoCellAnchor>
    <xdr:from>
      <xdr:col>3</xdr:col>
      <xdr:colOff>426720</xdr:colOff>
      <xdr:row>3</xdr:row>
      <xdr:rowOff>55880</xdr:rowOff>
    </xdr:from>
    <xdr:to>
      <xdr:col>5</xdr:col>
      <xdr:colOff>548640</xdr:colOff>
      <xdr:row>4</xdr:row>
      <xdr:rowOff>167640</xdr:rowOff>
    </xdr:to>
    <xdr:sp macro="" textlink="'Pivot Report'!A8">
      <xdr:nvSpPr>
        <xdr:cNvPr id="30" name="TextBox 29">
          <a:extLst>
            <a:ext uri="{FF2B5EF4-FFF2-40B4-BE49-F238E27FC236}">
              <a16:creationId xmlns:a16="http://schemas.microsoft.com/office/drawing/2014/main" id="{92B81CB9-32EE-494D-89EC-55346090976A}"/>
            </a:ext>
          </a:extLst>
        </xdr:cNvPr>
        <xdr:cNvSpPr txBox="1"/>
      </xdr:nvSpPr>
      <xdr:spPr>
        <a:xfrm>
          <a:off x="2255520" y="604520"/>
          <a:ext cx="134112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50FD63-2820-4BCC-AF59-A01FC1DBA9D1}" type="TxLink">
            <a:rPr lang="en-US" sz="1400" b="0" i="0" u="none" strike="noStrike">
              <a:solidFill>
                <a:srgbClr val="000000"/>
              </a:solidFill>
              <a:latin typeface="Calibri"/>
              <a:ea typeface="Calibri"/>
              <a:cs typeface="Calibri"/>
            </a:rPr>
            <a:pPr marL="0" indent="0" algn="ctr"/>
            <a:t>36.32</a:t>
          </a:fld>
          <a:endParaRPr lang="en-US" sz="1400" b="0" i="0" u="none" strike="noStrike">
            <a:solidFill>
              <a:srgbClr val="000000"/>
            </a:solidFill>
            <a:latin typeface="Calibri"/>
            <a:ea typeface="Calibri"/>
            <a:cs typeface="Calibri"/>
          </a:endParaRPr>
        </a:p>
      </xdr:txBody>
    </xdr:sp>
    <xdr:clientData/>
  </xdr:twoCellAnchor>
  <xdr:twoCellAnchor>
    <xdr:from>
      <xdr:col>3</xdr:col>
      <xdr:colOff>431800</xdr:colOff>
      <xdr:row>4</xdr:row>
      <xdr:rowOff>127000</xdr:rowOff>
    </xdr:from>
    <xdr:to>
      <xdr:col>5</xdr:col>
      <xdr:colOff>553720</xdr:colOff>
      <xdr:row>6</xdr:row>
      <xdr:rowOff>10160</xdr:rowOff>
    </xdr:to>
    <xdr:sp macro="" textlink="'Pivot Report'!A4">
      <xdr:nvSpPr>
        <xdr:cNvPr id="31" name="TextBox 30">
          <a:extLst>
            <a:ext uri="{FF2B5EF4-FFF2-40B4-BE49-F238E27FC236}">
              <a16:creationId xmlns:a16="http://schemas.microsoft.com/office/drawing/2014/main" id="{5C0CDEA6-5C16-4483-B834-1E439F27FC67}"/>
            </a:ext>
          </a:extLst>
        </xdr:cNvPr>
        <xdr:cNvSpPr txBox="1"/>
      </xdr:nvSpPr>
      <xdr:spPr>
        <a:xfrm>
          <a:off x="2260600" y="858520"/>
          <a:ext cx="1341120"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800">
              <a:solidFill>
                <a:schemeClr val="dk1"/>
              </a:solidFill>
              <a:latin typeface="+mn-lt"/>
              <a:ea typeface="+mn-ea"/>
              <a:cs typeface="+mn-cs"/>
            </a:rPr>
            <a:t>Average Wait Time</a:t>
          </a:r>
        </a:p>
      </xdr:txBody>
    </xdr:sp>
    <xdr:clientData/>
  </xdr:twoCellAnchor>
  <xdr:twoCellAnchor>
    <xdr:from>
      <xdr:col>6</xdr:col>
      <xdr:colOff>71120</xdr:colOff>
      <xdr:row>3</xdr:row>
      <xdr:rowOff>55880</xdr:rowOff>
    </xdr:from>
    <xdr:to>
      <xdr:col>8</xdr:col>
      <xdr:colOff>193040</xdr:colOff>
      <xdr:row>4</xdr:row>
      <xdr:rowOff>167640</xdr:rowOff>
    </xdr:to>
    <xdr:sp macro="" textlink="'Pivot Report'!A12">
      <xdr:nvSpPr>
        <xdr:cNvPr id="32" name="TextBox 31">
          <a:extLst>
            <a:ext uri="{FF2B5EF4-FFF2-40B4-BE49-F238E27FC236}">
              <a16:creationId xmlns:a16="http://schemas.microsoft.com/office/drawing/2014/main" id="{4E7DF2CD-1C44-4492-A117-F6F20A33B0ED}"/>
            </a:ext>
          </a:extLst>
        </xdr:cNvPr>
        <xdr:cNvSpPr txBox="1"/>
      </xdr:nvSpPr>
      <xdr:spPr>
        <a:xfrm>
          <a:off x="3728720" y="604520"/>
          <a:ext cx="134112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D7252F-E2DA-4328-88D5-BDDE2713091A}" type="TxLink">
            <a:rPr lang="en-US" sz="1400" b="0" i="0" u="none" strike="noStrike">
              <a:solidFill>
                <a:srgbClr val="000000"/>
              </a:solidFill>
              <a:latin typeface="Calibri"/>
              <a:ea typeface="Calibri"/>
              <a:cs typeface="Calibri"/>
            </a:rPr>
            <a:pPr marL="0" indent="0" algn="ctr"/>
            <a:t>4.96</a:t>
          </a:fld>
          <a:endParaRPr lang="en-US" sz="1400" b="0" i="0" u="none" strike="noStrike">
            <a:solidFill>
              <a:srgbClr val="000000"/>
            </a:solidFill>
            <a:latin typeface="Calibri"/>
            <a:ea typeface="Calibri"/>
            <a:cs typeface="Calibri"/>
          </a:endParaRPr>
        </a:p>
      </xdr:txBody>
    </xdr:sp>
    <xdr:clientData/>
  </xdr:twoCellAnchor>
  <xdr:twoCellAnchor>
    <xdr:from>
      <xdr:col>6</xdr:col>
      <xdr:colOff>66040</xdr:colOff>
      <xdr:row>4</xdr:row>
      <xdr:rowOff>127000</xdr:rowOff>
    </xdr:from>
    <xdr:to>
      <xdr:col>8</xdr:col>
      <xdr:colOff>198120</xdr:colOff>
      <xdr:row>5</xdr:row>
      <xdr:rowOff>162560</xdr:rowOff>
    </xdr:to>
    <xdr:sp macro="" textlink="'Pivot Report'!A4">
      <xdr:nvSpPr>
        <xdr:cNvPr id="33" name="TextBox 32">
          <a:extLst>
            <a:ext uri="{FF2B5EF4-FFF2-40B4-BE49-F238E27FC236}">
              <a16:creationId xmlns:a16="http://schemas.microsoft.com/office/drawing/2014/main" id="{BD13E1C7-AA5C-4CC1-BC30-AD109EB78C1F}"/>
            </a:ext>
          </a:extLst>
        </xdr:cNvPr>
        <xdr:cNvSpPr txBox="1"/>
      </xdr:nvSpPr>
      <xdr:spPr>
        <a:xfrm>
          <a:off x="3723640" y="858520"/>
          <a:ext cx="13512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t>Patient</a:t>
          </a:r>
          <a:r>
            <a:rPr lang="en-US" sz="800" baseline="0"/>
            <a:t> </a:t>
          </a:r>
          <a:r>
            <a:rPr lang="en-US" sz="800"/>
            <a:t>Satisfaction</a:t>
          </a:r>
          <a:r>
            <a:rPr lang="en-US" sz="800" baseline="0"/>
            <a:t> Score</a:t>
          </a:r>
          <a:endParaRPr lang="en-US" sz="800"/>
        </a:p>
      </xdr:txBody>
    </xdr:sp>
    <xdr:clientData/>
  </xdr:twoCellAnchor>
  <xdr:twoCellAnchor editAs="oneCell">
    <xdr:from>
      <xdr:col>1</xdr:col>
      <xdr:colOff>172720</xdr:colOff>
      <xdr:row>3</xdr:row>
      <xdr:rowOff>30480</xdr:rowOff>
    </xdr:from>
    <xdr:to>
      <xdr:col>1</xdr:col>
      <xdr:colOff>533400</xdr:colOff>
      <xdr:row>5</xdr:row>
      <xdr:rowOff>10160</xdr:rowOff>
    </xdr:to>
    <xdr:pic>
      <xdr:nvPicPr>
        <xdr:cNvPr id="35" name="Graphic 34" descr="Male profile">
          <a:extLst>
            <a:ext uri="{FF2B5EF4-FFF2-40B4-BE49-F238E27FC236}">
              <a16:creationId xmlns:a16="http://schemas.microsoft.com/office/drawing/2014/main" id="{653F9904-54DF-434E-B178-EF054FCCD6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82320" y="579120"/>
          <a:ext cx="360680" cy="345440"/>
        </a:xfrm>
        <a:prstGeom prst="rect">
          <a:avLst/>
        </a:prstGeom>
      </xdr:spPr>
    </xdr:pic>
    <xdr:clientData/>
  </xdr:twoCellAnchor>
  <xdr:twoCellAnchor editAs="oneCell">
    <xdr:from>
      <xdr:col>6</xdr:col>
      <xdr:colOff>15240</xdr:colOff>
      <xdr:row>3</xdr:row>
      <xdr:rowOff>30480</xdr:rowOff>
    </xdr:from>
    <xdr:to>
      <xdr:col>6</xdr:col>
      <xdr:colOff>355600</xdr:colOff>
      <xdr:row>4</xdr:row>
      <xdr:rowOff>172720</xdr:rowOff>
    </xdr:to>
    <xdr:pic>
      <xdr:nvPicPr>
        <xdr:cNvPr id="39" name="Graphic 38" descr="Checklist RTL">
          <a:extLst>
            <a:ext uri="{FF2B5EF4-FFF2-40B4-BE49-F238E27FC236}">
              <a16:creationId xmlns:a16="http://schemas.microsoft.com/office/drawing/2014/main" id="{B115A1B8-C446-41E0-B8E4-0C451998D3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672840" y="579120"/>
          <a:ext cx="340360" cy="325120"/>
        </a:xfrm>
        <a:prstGeom prst="rect">
          <a:avLst/>
        </a:prstGeom>
      </xdr:spPr>
    </xdr:pic>
    <xdr:clientData/>
  </xdr:twoCellAnchor>
  <xdr:twoCellAnchor editAs="oneCell">
    <xdr:from>
      <xdr:col>3</xdr:col>
      <xdr:colOff>391160</xdr:colOff>
      <xdr:row>3</xdr:row>
      <xdr:rowOff>25400</xdr:rowOff>
    </xdr:from>
    <xdr:to>
      <xdr:col>4</xdr:col>
      <xdr:colOff>132080</xdr:colOff>
      <xdr:row>5</xdr:row>
      <xdr:rowOff>0</xdr:rowOff>
    </xdr:to>
    <xdr:pic>
      <xdr:nvPicPr>
        <xdr:cNvPr id="41" name="Graphic 40" descr="Stopwatch">
          <a:extLst>
            <a:ext uri="{FF2B5EF4-FFF2-40B4-BE49-F238E27FC236}">
              <a16:creationId xmlns:a16="http://schemas.microsoft.com/office/drawing/2014/main" id="{E237AD1F-EF48-4524-A9E1-A88AF27F99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19960" y="574040"/>
          <a:ext cx="350520" cy="340360"/>
        </a:xfrm>
        <a:prstGeom prst="rect">
          <a:avLst/>
        </a:prstGeom>
      </xdr:spPr>
    </xdr:pic>
    <xdr:clientData/>
  </xdr:twoCellAnchor>
  <xdr:twoCellAnchor editAs="oneCell">
    <xdr:from>
      <xdr:col>0</xdr:col>
      <xdr:colOff>60960</xdr:colOff>
      <xdr:row>3</xdr:row>
      <xdr:rowOff>81280</xdr:rowOff>
    </xdr:from>
    <xdr:to>
      <xdr:col>1</xdr:col>
      <xdr:colOff>90810</xdr:colOff>
      <xdr:row>17</xdr:row>
      <xdr:rowOff>112960</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CF3579E3-EBF4-4081-A9E4-3F61069EE4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 y="629920"/>
              <a:ext cx="639450" cy="25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193040</xdr:colOff>
      <xdr:row>4</xdr:row>
      <xdr:rowOff>157480</xdr:rowOff>
    </xdr:from>
    <xdr:to>
      <xdr:col>3</xdr:col>
      <xdr:colOff>325120</xdr:colOff>
      <xdr:row>7</xdr:row>
      <xdr:rowOff>127000</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9B2A1E2E-7C97-4A52-86AA-7853B31C8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426720</xdr:colOff>
      <xdr:row>4</xdr:row>
      <xdr:rowOff>162560</xdr:rowOff>
    </xdr:from>
    <xdr:to>
      <xdr:col>5</xdr:col>
      <xdr:colOff>574040</xdr:colOff>
      <xdr:row>7</xdr:row>
      <xdr:rowOff>116840</xdr:rowOff>
    </xdr:to>
    <xdr:graphicFrame macro="">
      <xdr:nvGraphicFramePr>
        <xdr:cNvPr id="37" name="Chart 36">
          <a:hlinkClick xmlns:r="http://schemas.openxmlformats.org/officeDocument/2006/relationships" r:id="rId10"/>
          <a:extLst>
            <a:ext uri="{FF2B5EF4-FFF2-40B4-BE49-F238E27FC236}">
              <a16:creationId xmlns:a16="http://schemas.microsoft.com/office/drawing/2014/main" id="{B4065D3C-7022-4C20-8EFA-32530F44E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50800</xdr:colOff>
      <xdr:row>4</xdr:row>
      <xdr:rowOff>167640</xdr:rowOff>
    </xdr:from>
    <xdr:to>
      <xdr:col>8</xdr:col>
      <xdr:colOff>203200</xdr:colOff>
      <xdr:row>7</xdr:row>
      <xdr:rowOff>121920</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B0B0EB9B-E3F9-46D3-B1A9-6AC1ECAF1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167640</xdr:colOff>
          <xdr:row>8</xdr:row>
          <xdr:rowOff>15240</xdr:rowOff>
        </xdr:from>
        <xdr:to>
          <xdr:col>8</xdr:col>
          <xdr:colOff>208280</xdr:colOff>
          <xdr:row>10</xdr:row>
          <xdr:rowOff>116840</xdr:rowOff>
        </xdr:to>
        <xdr:pic>
          <xdr:nvPicPr>
            <xdr:cNvPr id="38" name="Picture 37">
              <a:extLst>
                <a:ext uri="{FF2B5EF4-FFF2-40B4-BE49-F238E27FC236}">
                  <a16:creationId xmlns:a16="http://schemas.microsoft.com/office/drawing/2014/main" id="{0E24D85A-F7FC-48FD-BD3C-9A8B29CAD53B}"/>
                </a:ext>
              </a:extLst>
            </xdr:cNvPr>
            <xdr:cNvPicPr>
              <a:picLocks noChangeAspect="1" noChangeArrowheads="1"/>
              <a:extLst>
                <a:ext uri="{84589F7E-364E-4C9E-8A38-B11213B215E9}">
                  <a14:cameraTool cellRange="'Pivot Report'!$A$21:$D$23" spid="_x0000_s1051"/>
                </a:ext>
              </a:extLst>
            </xdr:cNvPicPr>
          </xdr:nvPicPr>
          <xdr:blipFill>
            <a:blip xmlns:r="http://schemas.openxmlformats.org/officeDocument/2006/relationships" r:embed="rId14"/>
            <a:srcRect/>
            <a:stretch>
              <a:fillRect/>
            </a:stretch>
          </xdr:blipFill>
          <xdr:spPr bwMode="auto">
            <a:xfrm>
              <a:off x="777240" y="1478280"/>
              <a:ext cx="4307840" cy="467360"/>
            </a:xfrm>
            <a:prstGeom prst="roundRect">
              <a:avLst>
                <a:gd name="adj" fmla="val 12320"/>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187960</xdr:colOff>
      <xdr:row>11</xdr:row>
      <xdr:rowOff>5080</xdr:rowOff>
    </xdr:from>
    <xdr:to>
      <xdr:col>8</xdr:col>
      <xdr:colOff>187960</xdr:colOff>
      <xdr:row>16</xdr:row>
      <xdr:rowOff>152400</xdr:rowOff>
    </xdr:to>
    <xdr:graphicFrame macro="">
      <xdr:nvGraphicFramePr>
        <xdr:cNvPr id="40" name="Chart 39">
          <a:extLst>
            <a:ext uri="{FF2B5EF4-FFF2-40B4-BE49-F238E27FC236}">
              <a16:creationId xmlns:a16="http://schemas.microsoft.com/office/drawing/2014/main" id="{C9FF838E-4F6A-4699-844E-CB79B7DED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568960</xdr:colOff>
      <xdr:row>16</xdr:row>
      <xdr:rowOff>147320</xdr:rowOff>
    </xdr:from>
    <xdr:to>
      <xdr:col>7</xdr:col>
      <xdr:colOff>340360</xdr:colOff>
      <xdr:row>17</xdr:row>
      <xdr:rowOff>121920</xdr:rowOff>
    </xdr:to>
    <xdr:sp macro="" textlink="">
      <xdr:nvSpPr>
        <xdr:cNvPr id="2" name="TextBox 1">
          <a:extLst>
            <a:ext uri="{FF2B5EF4-FFF2-40B4-BE49-F238E27FC236}">
              <a16:creationId xmlns:a16="http://schemas.microsoft.com/office/drawing/2014/main" id="{1270CD27-78F2-4079-AC19-2EE7219CC007}"/>
            </a:ext>
          </a:extLst>
        </xdr:cNvPr>
        <xdr:cNvSpPr txBox="1"/>
      </xdr:nvSpPr>
      <xdr:spPr>
        <a:xfrm>
          <a:off x="1178560" y="3073400"/>
          <a:ext cx="3429000" cy="1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No. of Patient by Age group</a:t>
          </a:r>
        </a:p>
      </xdr:txBody>
    </xdr:sp>
    <xdr:clientData/>
  </xdr:twoCellAnchor>
  <xdr:twoCellAnchor>
    <xdr:from>
      <xdr:col>8</xdr:col>
      <xdr:colOff>294640</xdr:colOff>
      <xdr:row>0</xdr:row>
      <xdr:rowOff>55880</xdr:rowOff>
    </xdr:from>
    <xdr:to>
      <xdr:col>11</xdr:col>
      <xdr:colOff>50800</xdr:colOff>
      <xdr:row>7</xdr:row>
      <xdr:rowOff>152400</xdr:rowOff>
    </xdr:to>
    <xdr:graphicFrame macro="">
      <xdr:nvGraphicFramePr>
        <xdr:cNvPr id="43" name="Chart 42">
          <a:extLst>
            <a:ext uri="{FF2B5EF4-FFF2-40B4-BE49-F238E27FC236}">
              <a16:creationId xmlns:a16="http://schemas.microsoft.com/office/drawing/2014/main" id="{B1E09B52-AFE6-4712-B960-E6F6ACEFB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152400</xdr:colOff>
      <xdr:row>0</xdr:row>
      <xdr:rowOff>66040</xdr:rowOff>
    </xdr:from>
    <xdr:to>
      <xdr:col>13</xdr:col>
      <xdr:colOff>528320</xdr:colOff>
      <xdr:row>7</xdr:row>
      <xdr:rowOff>147320</xdr:rowOff>
    </xdr:to>
    <xdr:graphicFrame macro="">
      <xdr:nvGraphicFramePr>
        <xdr:cNvPr id="44" name="Chart 43">
          <a:extLst>
            <a:ext uri="{FF2B5EF4-FFF2-40B4-BE49-F238E27FC236}">
              <a16:creationId xmlns:a16="http://schemas.microsoft.com/office/drawing/2014/main" id="{CC7B9C6E-A7DB-4662-AE24-79E8BBE0D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284480</xdr:colOff>
      <xdr:row>7</xdr:row>
      <xdr:rowOff>15240</xdr:rowOff>
    </xdr:from>
    <xdr:to>
      <xdr:col>13</xdr:col>
      <xdr:colOff>396240</xdr:colOff>
      <xdr:row>7</xdr:row>
      <xdr:rowOff>157480</xdr:rowOff>
    </xdr:to>
    <xdr:sp macro="" textlink="">
      <xdr:nvSpPr>
        <xdr:cNvPr id="11" name="TextBox 10">
          <a:extLst>
            <a:ext uri="{FF2B5EF4-FFF2-40B4-BE49-F238E27FC236}">
              <a16:creationId xmlns:a16="http://schemas.microsoft.com/office/drawing/2014/main" id="{F240A1AC-0279-4A86-B3A1-49689F5AFA3E}"/>
            </a:ext>
          </a:extLst>
        </xdr:cNvPr>
        <xdr:cNvSpPr txBox="1"/>
      </xdr:nvSpPr>
      <xdr:spPr>
        <a:xfrm>
          <a:off x="6990080" y="1295400"/>
          <a:ext cx="1330960" cy="142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Gender wise Analysis</a:t>
          </a:r>
        </a:p>
      </xdr:txBody>
    </xdr:sp>
    <xdr:clientData/>
  </xdr:twoCellAnchor>
  <xdr:twoCellAnchor>
    <xdr:from>
      <xdr:col>8</xdr:col>
      <xdr:colOff>289560</xdr:colOff>
      <xdr:row>8</xdr:row>
      <xdr:rowOff>35560</xdr:rowOff>
    </xdr:from>
    <xdr:to>
      <xdr:col>13</xdr:col>
      <xdr:colOff>538480</xdr:colOff>
      <xdr:row>16</xdr:row>
      <xdr:rowOff>142240</xdr:rowOff>
    </xdr:to>
    <xdr:graphicFrame macro="">
      <xdr:nvGraphicFramePr>
        <xdr:cNvPr id="45" name="Chart 44">
          <a:extLst>
            <a:ext uri="{FF2B5EF4-FFF2-40B4-BE49-F238E27FC236}">
              <a16:creationId xmlns:a16="http://schemas.microsoft.com/office/drawing/2014/main" id="{738F5520-F1C2-4D77-A774-5C0DC34B3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599440</xdr:colOff>
      <xdr:row>16</xdr:row>
      <xdr:rowOff>147320</xdr:rowOff>
    </xdr:from>
    <xdr:to>
      <xdr:col>13</xdr:col>
      <xdr:colOff>5080</xdr:colOff>
      <xdr:row>17</xdr:row>
      <xdr:rowOff>116840</xdr:rowOff>
    </xdr:to>
    <xdr:sp macro="" textlink="">
      <xdr:nvSpPr>
        <xdr:cNvPr id="12" name="TextBox 11">
          <a:extLst>
            <a:ext uri="{FF2B5EF4-FFF2-40B4-BE49-F238E27FC236}">
              <a16:creationId xmlns:a16="http://schemas.microsoft.com/office/drawing/2014/main" id="{07B1BABA-A482-4B24-A243-2E88A1700875}"/>
            </a:ext>
          </a:extLst>
        </xdr:cNvPr>
        <xdr:cNvSpPr txBox="1"/>
      </xdr:nvSpPr>
      <xdr:spPr>
        <a:xfrm>
          <a:off x="5476240" y="3073400"/>
          <a:ext cx="245364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No. of Patient by Department Referal</a:t>
          </a:r>
        </a:p>
      </xdr:txBody>
    </xdr:sp>
    <xdr:clientData/>
  </xdr:twoCellAnchor>
  <xdr:twoCellAnchor editAs="oneCell">
    <xdr:from>
      <xdr:col>6</xdr:col>
      <xdr:colOff>55880</xdr:colOff>
      <xdr:row>0</xdr:row>
      <xdr:rowOff>60960</xdr:rowOff>
    </xdr:from>
    <xdr:to>
      <xdr:col>8</xdr:col>
      <xdr:colOff>198120</xdr:colOff>
      <xdr:row>2</xdr:row>
      <xdr:rowOff>147320</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CA077BA1-82F8-419A-81BB-556BEBB25A8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13480" y="60960"/>
              <a:ext cx="1361440" cy="45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0.05128</cdr:x>
      <cdr:y>0.9037</cdr:y>
    </cdr:from>
    <cdr:to>
      <cdr:x>0.97115</cdr:x>
      <cdr:y>0.99262</cdr:y>
    </cdr:to>
    <cdr:sp macro="" textlink="">
      <cdr:nvSpPr>
        <cdr:cNvPr id="2" name="TextBox 1">
          <a:extLst xmlns:a="http://schemas.openxmlformats.org/drawingml/2006/main">
            <a:ext uri="{FF2B5EF4-FFF2-40B4-BE49-F238E27FC236}">
              <a16:creationId xmlns:a16="http://schemas.microsoft.com/office/drawing/2014/main" id="{FB430AF3-9095-4264-B6A6-5057FF021A3A}"/>
            </a:ext>
          </a:extLst>
        </cdr:cNvPr>
        <cdr:cNvSpPr txBox="1"/>
      </cdr:nvSpPr>
      <cdr:spPr>
        <a:xfrm xmlns:a="http://schemas.openxmlformats.org/drawingml/2006/main">
          <a:off x="81280" y="1244111"/>
          <a:ext cx="1457960" cy="12240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800"/>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243840</xdr:colOff>
      <xdr:row>2</xdr:row>
      <xdr:rowOff>0</xdr:rowOff>
    </xdr:from>
    <xdr:to>
      <xdr:col>16</xdr:col>
      <xdr:colOff>350520</xdr:colOff>
      <xdr:row>26</xdr:row>
      <xdr:rowOff>0</xdr:rowOff>
    </xdr:to>
    <xdr:graphicFrame macro="">
      <xdr:nvGraphicFramePr>
        <xdr:cNvPr id="2" name="Chart 1">
          <a:extLst>
            <a:ext uri="{FF2B5EF4-FFF2-40B4-BE49-F238E27FC236}">
              <a16:creationId xmlns:a16="http://schemas.microsoft.com/office/drawing/2014/main" id="{42B51CAC-DD53-4EDA-A8CE-647928A2E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259080</xdr:colOff>
      <xdr:row>2</xdr:row>
      <xdr:rowOff>7620</xdr:rowOff>
    </xdr:from>
    <xdr:to>
      <xdr:col>2</xdr:col>
      <xdr:colOff>403860</xdr:colOff>
      <xdr:row>6</xdr:row>
      <xdr:rowOff>30480</xdr:rowOff>
    </xdr:to>
    <xdr:pic>
      <xdr:nvPicPr>
        <xdr:cNvPr id="4" name="Graphic 3" descr="Home">
          <a:hlinkClick xmlns:r="http://schemas.openxmlformats.org/officeDocument/2006/relationships" r:id="rId2"/>
          <a:extLst>
            <a:ext uri="{FF2B5EF4-FFF2-40B4-BE49-F238E27FC236}">
              <a16:creationId xmlns:a16="http://schemas.microsoft.com/office/drawing/2014/main" id="{B4A4CB19-67D9-42E0-912A-E5A0398D55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8680" y="373380"/>
          <a:ext cx="75438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243840</xdr:colOff>
      <xdr:row>2</xdr:row>
      <xdr:rowOff>7620</xdr:rowOff>
    </xdr:from>
    <xdr:to>
      <xdr:col>16</xdr:col>
      <xdr:colOff>335280</xdr:colOff>
      <xdr:row>25</xdr:row>
      <xdr:rowOff>137160</xdr:rowOff>
    </xdr:to>
    <xdr:graphicFrame macro="">
      <xdr:nvGraphicFramePr>
        <xdr:cNvPr id="2" name="Chart 1">
          <a:extLst>
            <a:ext uri="{FF2B5EF4-FFF2-40B4-BE49-F238E27FC236}">
              <a16:creationId xmlns:a16="http://schemas.microsoft.com/office/drawing/2014/main" id="{918C9D75-9E16-4F8C-9DEE-92E0F9387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259080</xdr:colOff>
      <xdr:row>2</xdr:row>
      <xdr:rowOff>22860</xdr:rowOff>
    </xdr:from>
    <xdr:to>
      <xdr:col>2</xdr:col>
      <xdr:colOff>403860</xdr:colOff>
      <xdr:row>6</xdr:row>
      <xdr:rowOff>45720</xdr:rowOff>
    </xdr:to>
    <xdr:pic>
      <xdr:nvPicPr>
        <xdr:cNvPr id="4" name="Graphic 3" descr="Home">
          <a:hlinkClick xmlns:r="http://schemas.openxmlformats.org/officeDocument/2006/relationships" r:id="rId2"/>
          <a:extLst>
            <a:ext uri="{FF2B5EF4-FFF2-40B4-BE49-F238E27FC236}">
              <a16:creationId xmlns:a16="http://schemas.microsoft.com/office/drawing/2014/main" id="{7DB4EF86-2E8D-4F28-BC01-95BFED8FB1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8680" y="388620"/>
          <a:ext cx="75438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190500</xdr:colOff>
      <xdr:row>2</xdr:row>
      <xdr:rowOff>0</xdr:rowOff>
    </xdr:from>
    <xdr:to>
      <xdr:col>16</xdr:col>
      <xdr:colOff>426720</xdr:colOff>
      <xdr:row>25</xdr:row>
      <xdr:rowOff>175260</xdr:rowOff>
    </xdr:to>
    <xdr:graphicFrame macro="">
      <xdr:nvGraphicFramePr>
        <xdr:cNvPr id="4" name="Chart 3">
          <a:extLst>
            <a:ext uri="{FF2B5EF4-FFF2-40B4-BE49-F238E27FC236}">
              <a16:creationId xmlns:a16="http://schemas.microsoft.com/office/drawing/2014/main" id="{6E4C5766-ACDB-4FE1-9DCE-DED8DC2B2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259080</xdr:colOff>
      <xdr:row>2</xdr:row>
      <xdr:rowOff>22860</xdr:rowOff>
    </xdr:from>
    <xdr:to>
      <xdr:col>2</xdr:col>
      <xdr:colOff>403860</xdr:colOff>
      <xdr:row>6</xdr:row>
      <xdr:rowOff>45720</xdr:rowOff>
    </xdr:to>
    <xdr:pic>
      <xdr:nvPicPr>
        <xdr:cNvPr id="3" name="Graphic 2" descr="Home">
          <a:hlinkClick xmlns:r="http://schemas.openxmlformats.org/officeDocument/2006/relationships" r:id="rId2"/>
          <a:extLst>
            <a:ext uri="{FF2B5EF4-FFF2-40B4-BE49-F238E27FC236}">
              <a16:creationId xmlns:a16="http://schemas.microsoft.com/office/drawing/2014/main" id="{CAC886F7-013B-43F7-A852-D00DA931B1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8680" y="388620"/>
          <a:ext cx="754380" cy="7543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26967596" createdVersion="5" refreshedVersion="7" minRefreshableVersion="3" recordCount="0" supportSubquery="1" supportAdvancedDrill="1" xr:uid="{4D78D090-5FE5-42FD-80FE-CCCAE9F3E89D}">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2789352" createdVersion="5" refreshedVersion="7" minRefreshableVersion="3" recordCount="0" supportSubquery="1" supportAdvancedDrill="1" xr:uid="{E7ABCBB8-521F-4EF8-BFDB-165C71879D4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2847222" createdVersion="5" refreshedVersion="7" minRefreshableVersion="3" recordCount="0" supportSubquery="1" supportAdvancedDrill="1" xr:uid="{9FBC6E3B-5C2A-4141-BAC7-12CC7594B97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29050928" createdVersion="5" refreshedVersion="7" minRefreshableVersion="3" recordCount="0" supportSubquery="1" supportAdvancedDrill="1" xr:uid="{849D93A8-6C7C-4047-83DD-130845BEE4C0}">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0092591" createdVersion="5" refreshedVersion="7" minRefreshableVersion="3" recordCount="0" supportSubquery="1" supportAdvancedDrill="1" xr:uid="{83E4699F-57BF-444E-8935-90FAC2F7F24D}">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1365738" createdVersion="5" refreshedVersion="7" minRefreshableVersion="3" recordCount="0" supportSubquery="1" supportAdvancedDrill="1" xr:uid="{6855F670-BDE1-4882-8C25-ECF9B55AF0FD}">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2523146" createdVersion="5" refreshedVersion="7" minRefreshableVersion="3" recordCount="0" supportSubquery="1" supportAdvancedDrill="1" xr:uid="{B83DFDA3-74C6-43AF-B3F5-7D7FFA4B4D3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2986108" createdVersion="5" refreshedVersion="7" minRefreshableVersion="3" recordCount="0" supportSubquery="1" supportAdvancedDrill="1" xr:uid="{571F57C4-8874-41FD-BD9D-7F5FA1DA0E60}">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3680555" createdVersion="5" refreshedVersion="7" minRefreshableVersion="3" recordCount="0" supportSubquery="1" supportAdvancedDrill="1" xr:uid="{52DB5544-0FB0-4ADC-82D0-34CC401A155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s attend Status].[Patients attend Status]" caption="Patients attend Status" numFmtId="0" hierarchy="17" level="1">
      <sharedItems count="2">
        <s v="Delay"/>
        <s v="Ontime"/>
      </sharedItems>
    </cacheField>
    <cacheField name="[Measures].[Count of Patients attend Status]" caption="Count of Patients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4375001" createdVersion="5" refreshedVersion="7" minRefreshableVersion="3" recordCount="0" supportSubquery="1" supportAdvancedDrill="1" xr:uid="{41529AB2-B1D5-47A6-BD2E-3A2B5E83250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5069448" createdVersion="5" refreshedVersion="7" minRefreshableVersion="3" recordCount="0" supportSubquery="1" supportAdvancedDrill="1" xr:uid="{4B60C579-8240-488B-96C5-FFD69B15D430}">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79935763887" createdVersion="5" refreshedVersion="7" minRefreshableVersion="3" recordCount="0" supportSubquery="1" supportAdvancedDrill="1" xr:uid="{56A20EBC-4A45-4F4E-A6D1-C8AD09B6AFEB}">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Mankar" refreshedDate="46106.753870601853" createdVersion="3" refreshedVersion="7" minRefreshableVersion="3" recordCount="0" supportSubquery="1" supportAdvancedDrill="1" xr:uid="{0E744267-9590-4183-B84D-710E7123592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s attend Status]" caption="Patients attend Status" attribute="1" defaultMemberUniqueName="[Hospital Emergency Room Data].[Patients attend Status].[All]" allUniqueName="[Hospital Emergency Room Data].[Patients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s attend Status]" caption="Count of Patients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35981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6A201-4CE3-4DB9-B048-94B13D25AEDE}" name="PivotTable2" cacheId="705" applyNumberFormats="0" applyBorderFormats="0" applyFontFormats="0" applyPatternFormats="0" applyAlignmentFormats="0" applyWidthHeightFormats="1" dataCaption="Values" tag="34b4182a-ef11-4cab-af3a-758a647deb18" updatedVersion="7"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8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D6377-5497-4B8E-8573-489ABDFD1C99}" name="PivotTable1" cacheId="702" applyNumberFormats="0" applyBorderFormats="0" applyFontFormats="0" applyPatternFormats="0" applyAlignmentFormats="0" applyWidthHeightFormats="1" dataCaption="Values" tag="0bfa1d30-0583-4438-ab39-d7ad3e08dc12" updatedVersion="7"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05FC6-D5CE-4997-BEA2-DE6A9346F32E}" name="PivotTable9" cacheId="723"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15">
  <location ref="A39: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s attend Status" fld="2" subtotal="count" baseField="0" baseItem="0"/>
  </dataFields>
  <formats count="2">
    <format dxfId="482">
      <pivotArea grandRow="1" outline="0" collapsedLevelsAreSubtotals="1" fieldPosition="0"/>
    </format>
    <format dxfId="481">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8D4BA-CAB8-4661-962F-4AA15B415F83}" name="PivotTable3" cacheId="708" applyNumberFormats="0" applyBorderFormats="0" applyFontFormats="0" applyPatternFormats="0" applyAlignmentFormats="0" applyWidthHeightFormats="1" dataCaption="Values" tag="06b3da91-0913-484e-aeec-dfd58310673b" updatedVersion="7"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83">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56C3CD-A988-4552-A8F0-6D79501FD095}" name="PivotTable8" cacheId="720"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11">
  <location ref="A26:B3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0">
    <format dxfId="493">
      <pivotArea collapsedLevelsAreSubtotals="1" fieldPosition="0">
        <references count="1">
          <reference field="1" count="1">
            <x v="0"/>
          </reference>
        </references>
      </pivotArea>
    </format>
    <format dxfId="492">
      <pivotArea collapsedLevelsAreSubtotals="1" fieldPosition="0">
        <references count="1">
          <reference field="1" count="1">
            <x v="1"/>
          </reference>
        </references>
      </pivotArea>
    </format>
    <format dxfId="491">
      <pivotArea collapsedLevelsAreSubtotals="1" fieldPosition="0">
        <references count="1">
          <reference field="1" count="1">
            <x v="2"/>
          </reference>
        </references>
      </pivotArea>
    </format>
    <format dxfId="490">
      <pivotArea collapsedLevelsAreSubtotals="1" fieldPosition="0">
        <references count="1">
          <reference field="1" count="1">
            <x v="3"/>
          </reference>
        </references>
      </pivotArea>
    </format>
    <format dxfId="489">
      <pivotArea collapsedLevelsAreSubtotals="1" fieldPosition="0">
        <references count="1">
          <reference field="1" count="1">
            <x v="4"/>
          </reference>
        </references>
      </pivotArea>
    </format>
    <format dxfId="488">
      <pivotArea collapsedLevelsAreSubtotals="1" fieldPosition="0">
        <references count="1">
          <reference field="1" count="1">
            <x v="5"/>
          </reference>
        </references>
      </pivotArea>
    </format>
    <format dxfId="487">
      <pivotArea collapsedLevelsAreSubtotals="1" fieldPosition="0">
        <references count="1">
          <reference field="1" count="1">
            <x v="6"/>
          </reference>
        </references>
      </pivotArea>
    </format>
    <format dxfId="486">
      <pivotArea collapsedLevelsAreSubtotals="1" fieldPosition="0">
        <references count="1">
          <reference field="1" count="1">
            <x v="7"/>
          </reference>
        </references>
      </pivotArea>
    </format>
    <format dxfId="485">
      <pivotArea grandRow="1" outline="0" collapsedLevelsAreSubtotals="1" fieldPosition="0"/>
    </format>
    <format dxfId="484">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990E17-63A8-49BE-9045-A2700BCE7F3E}" name="PivotTable4" cacheId="699" applyNumberFormats="0" applyBorderFormats="0" applyFontFormats="0" applyPatternFormats="0" applyAlignmentFormats="0" applyWidthHeightFormats="1" dataCaption="Values" tag="0bfa1d30-0583-4438-ab39-d7ad3e08dc12" updatedVersion="7" minRefreshableVersion="3" useAutoFormatting="1" subtotalHiddenItems="1" itemPrintTitles="1" createdVersion="5" indent="0" outline="1" outlineData="1" multipleFieldFilters="0" chartFormat="18">
  <location ref="F3:G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3" format="17"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0"/>
          </reference>
        </references>
      </pivotArea>
    </chartFormat>
    <chartFormat chart="16" format="20"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EA10A1-EEAA-4A81-91D6-C8BDDAC31D57}" name="PivotTable6" cacheId="714" applyNumberFormats="0" applyBorderFormats="0" applyFontFormats="0" applyPatternFormats="0" applyAlignmentFormats="0" applyWidthHeightFormats="1" dataCaption="Values" tag="0bfa1d30-0583-4438-ab39-d7ad3e08dc12" updatedVersion="7" minRefreshableVersion="3" useAutoFormatting="1" subtotalHiddenItems="1" itemPrintTitles="1" createdVersion="5" indent="0" outline="1" outlineData="1" multipleFieldFilters="0" chartFormat="39">
  <location ref="L3:M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94">
      <pivotArea outline="0" collapsedLevelsAreSubtotals="1" fieldPosition="0"/>
    </format>
  </formats>
  <chartFormats count="6">
    <chartFormat chart="28"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E5876A-A242-41B0-810D-5816F6C51BCD}" name="PivotTable12" cacheId="732"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23">
  <location ref="A66:A68"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496">
      <pivotArea grandRow="1" outline="0" collapsedLevelsAreSubtotals="1" fieldPosition="0"/>
    </format>
    <format dxfId="495">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5AC9E-7C05-42E0-B6F7-26EFFFE0447C}" name="PivotTable11" cacheId="729"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23">
  <location ref="A53:B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498">
      <pivotArea grandRow="1" outline="0" collapsedLevelsAreSubtotals="1" fieldPosition="0"/>
    </format>
    <format dxfId="497">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020F6A-07DF-4D0A-B982-A45F426CB22E}" name="PivotTable5" cacheId="711" applyNumberFormats="0" applyBorderFormats="0" applyFontFormats="0" applyPatternFormats="0" applyAlignmentFormats="0" applyWidthHeightFormats="1" dataCaption="Values" tag="0bfa1d30-0583-4438-ab39-d7ad3e08dc12" updatedVersion="7" minRefreshableVersion="3" useAutoFormatting="1" subtotalHiddenItems="1" itemPrintTitles="1" createdVersion="5" indent="0" outline="1" outlineData="1" multipleFieldFilters="0" chartFormat="28">
  <location ref="I3: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499">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E7F54B-1DC2-4CFF-A16B-264CA39977AA}" name="PivotTable7" cacheId="717"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7">
  <location ref="A15:C1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501">
      <pivotArea outline="0" collapsedLevelsAreSubtotals="1" fieldPosition="0"/>
    </format>
    <format dxfId="50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EAE3B3-46F0-4BAE-B660-D7D1B3E31AC9}" name="PivotTable10" cacheId="726" applyNumberFormats="0" applyBorderFormats="0" applyFontFormats="0" applyPatternFormats="0" applyAlignmentFormats="0" applyWidthHeightFormats="1" dataCaption="Values" tag="06b3da91-0913-484e-aeec-dfd58310673b" updatedVersion="7" minRefreshableVersion="3" subtotalHiddenItems="1" itemPrintTitles="1" createdVersion="5" indent="0" outline="1" outlineData="1" multipleFieldFilters="0" chartFormat="19">
  <location ref="A46:B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03">
      <pivotArea grandRow="1" outline="0" collapsedLevelsAreSubtotals="1" fieldPosition="0"/>
    </format>
    <format dxfId="502">
      <pivotArea outline="0" collapsedLevelsAreSubtotals="1" fieldPosition="0"/>
    </format>
  </formats>
  <chartFormats count="9">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761EA0-14EE-48F9-BC2D-4BDAD79DEC9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3359816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C2BCDC2-F83F-4498-8ED8-51BF7E269CE3}"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3598166">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72EACC5-6BC8-4CC2-B3CA-32C92EF10852}" cache="Slicer_Date__Month" caption="Date (Month)" showCaption="0" level="1" style="My_Style" rowHeight="172800"/>
  <slicer name="Date (Year)" xr10:uid="{8CA86233-02FF-4DA3-A15D-A72E3B455B71}" cache="Slicer_Date__Year" caption="Date (Year)" columnCount="2" showCaption="0" level="1" style="My_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1087-BEDD-4F3F-8392-C03DA16E6BBD}">
  <dimension ref="A2:M68"/>
  <sheetViews>
    <sheetView topLeftCell="A52" workbookViewId="0">
      <selection activeCell="L1" sqref="L1:L1048576"/>
    </sheetView>
  </sheetViews>
  <sheetFormatPr defaultRowHeight="14.4" x14ac:dyDescent="0.3"/>
  <cols>
    <col min="1" max="1" width="32.44140625" bestFit="1" customWidth="1"/>
    <col min="2" max="2" width="18" customWidth="1"/>
    <col min="3" max="3" width="11.88671875" customWidth="1"/>
    <col min="4" max="4" width="18.6640625" customWidth="1"/>
    <col min="5" max="5" width="16.44140625" customWidth="1"/>
    <col min="6" max="6" width="12.5546875" bestFit="1" customWidth="1"/>
    <col min="7" max="7" width="23.88671875" bestFit="1" customWidth="1"/>
    <col min="8" max="8" width="4.44140625" customWidth="1"/>
    <col min="9" max="9" width="12.5546875" bestFit="1" customWidth="1"/>
    <col min="10" max="10" width="25" bestFit="1" customWidth="1"/>
    <col min="11" max="11" width="5.33203125" customWidth="1"/>
    <col min="12" max="12" width="12.5546875" bestFit="1" customWidth="1"/>
    <col min="13" max="13" width="32.44140625" bestFit="1" customWidth="1"/>
    <col min="14" max="14" width="4.109375" bestFit="1" customWidth="1"/>
    <col min="15" max="15" width="4" bestFit="1" customWidth="1"/>
    <col min="16" max="16" width="4.44140625" bestFit="1" customWidth="1"/>
    <col min="17" max="17" width="4.109375" bestFit="1" customWidth="1"/>
    <col min="18" max="18" width="10.77734375" bestFit="1" customWidth="1"/>
    <col min="19" max="19" width="6.77734375" bestFit="1" customWidth="1"/>
    <col min="20" max="20" width="5.88671875" bestFit="1" customWidth="1"/>
    <col min="21" max="21" width="6.6640625" bestFit="1" customWidth="1"/>
    <col min="22" max="22" width="6.33203125" bestFit="1" customWidth="1"/>
    <col min="23" max="23" width="6.109375" bestFit="1" customWidth="1"/>
    <col min="24" max="24" width="6.6640625" bestFit="1" customWidth="1"/>
    <col min="25" max="25" width="10.77734375" bestFit="1" customWidth="1"/>
    <col min="26" max="584" width="10.33203125" bestFit="1" customWidth="1"/>
    <col min="585" max="585" width="10.77734375" bestFit="1" customWidth="1"/>
  </cols>
  <sheetData>
    <row r="2" spans="1:13" x14ac:dyDescent="0.3">
      <c r="A2" s="7" t="s">
        <v>1</v>
      </c>
      <c r="F2" s="16" t="s">
        <v>7</v>
      </c>
      <c r="G2" s="16"/>
      <c r="I2" s="7" t="s">
        <v>8</v>
      </c>
      <c r="J2" s="8"/>
      <c r="L2" s="7" t="s">
        <v>12</v>
      </c>
      <c r="M2" s="8"/>
    </row>
    <row r="3" spans="1:13" x14ac:dyDescent="0.3">
      <c r="A3" t="s">
        <v>0</v>
      </c>
      <c r="F3" s="3" t="s">
        <v>5</v>
      </c>
      <c r="G3" t="s">
        <v>0</v>
      </c>
      <c r="I3" s="3" t="s">
        <v>5</v>
      </c>
      <c r="J3" t="s">
        <v>2</v>
      </c>
      <c r="L3" s="3" t="s">
        <v>5</v>
      </c>
      <c r="M3" t="s">
        <v>3</v>
      </c>
    </row>
    <row r="4" spans="1:13" x14ac:dyDescent="0.3">
      <c r="A4" s="1">
        <v>513</v>
      </c>
      <c r="F4" s="4" t="s">
        <v>50</v>
      </c>
      <c r="G4" s="1">
        <v>19</v>
      </c>
      <c r="I4" s="4" t="s">
        <v>50</v>
      </c>
      <c r="J4" s="2">
        <v>37.789473684210527</v>
      </c>
      <c r="L4" s="4" t="s">
        <v>50</v>
      </c>
      <c r="M4" s="2">
        <v>6.666666666666667</v>
      </c>
    </row>
    <row r="5" spans="1:13" x14ac:dyDescent="0.3">
      <c r="F5" s="4" t="s">
        <v>51</v>
      </c>
      <c r="G5" s="1">
        <v>14</v>
      </c>
      <c r="I5" s="4" t="s">
        <v>51</v>
      </c>
      <c r="J5" s="2">
        <v>38.214285714285715</v>
      </c>
      <c r="L5" s="4" t="s">
        <v>51</v>
      </c>
      <c r="M5" s="2">
        <v>3.5</v>
      </c>
    </row>
    <row r="6" spans="1:13" x14ac:dyDescent="0.3">
      <c r="A6" s="7" t="s">
        <v>8</v>
      </c>
      <c r="F6" s="4" t="s">
        <v>52</v>
      </c>
      <c r="G6" s="1">
        <v>13</v>
      </c>
      <c r="I6" s="4" t="s">
        <v>52</v>
      </c>
      <c r="J6" s="2">
        <v>40.92307692307692</v>
      </c>
      <c r="L6" s="4" t="s">
        <v>52</v>
      </c>
      <c r="M6" s="2">
        <v>4.5</v>
      </c>
    </row>
    <row r="7" spans="1:13" x14ac:dyDescent="0.3">
      <c r="A7" t="s">
        <v>2</v>
      </c>
      <c r="F7" s="4" t="s">
        <v>53</v>
      </c>
      <c r="G7" s="1">
        <v>22</v>
      </c>
      <c r="I7" s="4" t="s">
        <v>53</v>
      </c>
      <c r="J7" s="2">
        <v>34.5</v>
      </c>
      <c r="L7" s="4" t="s">
        <v>53</v>
      </c>
      <c r="M7" s="2">
        <v>4.8</v>
      </c>
    </row>
    <row r="8" spans="1:13" x14ac:dyDescent="0.3">
      <c r="A8" s="2">
        <v>36.323586744639378</v>
      </c>
      <c r="F8" s="4" t="s">
        <v>54</v>
      </c>
      <c r="G8" s="1">
        <v>19</v>
      </c>
      <c r="I8" s="4" t="s">
        <v>54</v>
      </c>
      <c r="J8" s="2">
        <v>30.684210526315791</v>
      </c>
      <c r="L8" s="4" t="s">
        <v>54</v>
      </c>
      <c r="M8" s="2">
        <v>7.75</v>
      </c>
    </row>
    <row r="9" spans="1:13" x14ac:dyDescent="0.3">
      <c r="F9" s="4" t="s">
        <v>55</v>
      </c>
      <c r="G9" s="1">
        <v>15</v>
      </c>
      <c r="I9" s="4" t="s">
        <v>55</v>
      </c>
      <c r="J9" s="2">
        <v>37.666666666666664</v>
      </c>
      <c r="L9" s="4" t="s">
        <v>55</v>
      </c>
      <c r="M9" s="2">
        <v>6.2</v>
      </c>
    </row>
    <row r="10" spans="1:13" x14ac:dyDescent="0.3">
      <c r="A10" s="7" t="s">
        <v>9</v>
      </c>
      <c r="F10" s="4" t="s">
        <v>56</v>
      </c>
      <c r="G10" s="1">
        <v>12</v>
      </c>
      <c r="I10" s="4" t="s">
        <v>56</v>
      </c>
      <c r="J10" s="2">
        <v>36.083333333333336</v>
      </c>
      <c r="L10" s="4" t="s">
        <v>56</v>
      </c>
      <c r="M10" s="2">
        <v>3.75</v>
      </c>
    </row>
    <row r="11" spans="1:13" x14ac:dyDescent="0.3">
      <c r="A11" t="s">
        <v>3</v>
      </c>
      <c r="F11" s="4" t="s">
        <v>57</v>
      </c>
      <c r="G11" s="1">
        <v>21</v>
      </c>
      <c r="I11" s="4" t="s">
        <v>57</v>
      </c>
      <c r="J11" s="2">
        <v>43.523809523809526</v>
      </c>
      <c r="L11" s="4" t="s">
        <v>57</v>
      </c>
      <c r="M11" s="2">
        <v>6.5</v>
      </c>
    </row>
    <row r="12" spans="1:13" x14ac:dyDescent="0.3">
      <c r="A12" s="2">
        <v>4.9591836734693882</v>
      </c>
      <c r="F12" s="4" t="s">
        <v>58</v>
      </c>
      <c r="G12" s="1">
        <v>12</v>
      </c>
      <c r="I12" s="4" t="s">
        <v>58</v>
      </c>
      <c r="J12" s="2">
        <v>29.5</v>
      </c>
      <c r="L12" s="4" t="s">
        <v>58</v>
      </c>
      <c r="M12" s="2">
        <v>3</v>
      </c>
    </row>
    <row r="13" spans="1:13" x14ac:dyDescent="0.3">
      <c r="F13" s="4" t="s">
        <v>59</v>
      </c>
      <c r="G13" s="1">
        <v>13</v>
      </c>
      <c r="I13" s="4" t="s">
        <v>59</v>
      </c>
      <c r="J13" s="2">
        <v>38.07692307692308</v>
      </c>
      <c r="L13" s="4" t="s">
        <v>59</v>
      </c>
      <c r="M13" s="2">
        <v>4.5</v>
      </c>
    </row>
    <row r="14" spans="1:13" x14ac:dyDescent="0.3">
      <c r="A14" s="16" t="s">
        <v>42</v>
      </c>
      <c r="B14" s="17"/>
      <c r="F14" s="4" t="s">
        <v>60</v>
      </c>
      <c r="G14" s="1">
        <v>13</v>
      </c>
      <c r="I14" s="4" t="s">
        <v>60</v>
      </c>
      <c r="J14" s="2">
        <v>35.846153846153847</v>
      </c>
      <c r="L14" s="4" t="s">
        <v>60</v>
      </c>
      <c r="M14" s="2">
        <v>6</v>
      </c>
    </row>
    <row r="15" spans="1:13" x14ac:dyDescent="0.3">
      <c r="A15" s="3" t="s">
        <v>5</v>
      </c>
      <c r="B15" t="s">
        <v>13</v>
      </c>
      <c r="C15" t="s">
        <v>16</v>
      </c>
      <c r="F15" s="4" t="s">
        <v>61</v>
      </c>
      <c r="G15" s="1">
        <v>16</v>
      </c>
      <c r="I15" s="4" t="s">
        <v>61</v>
      </c>
      <c r="J15" s="2">
        <v>32.625</v>
      </c>
      <c r="L15" s="4" t="s">
        <v>61</v>
      </c>
      <c r="M15" s="2">
        <v>5.2</v>
      </c>
    </row>
    <row r="16" spans="1:13" x14ac:dyDescent="0.3">
      <c r="A16" s="4" t="s">
        <v>14</v>
      </c>
      <c r="B16" s="2">
        <v>269</v>
      </c>
      <c r="C16" s="10">
        <v>0.52436647173489281</v>
      </c>
      <c r="D16" s="10"/>
      <c r="F16" s="4" t="s">
        <v>62</v>
      </c>
      <c r="G16" s="1">
        <v>20</v>
      </c>
      <c r="I16" s="4" t="s">
        <v>62</v>
      </c>
      <c r="J16" s="2">
        <v>39.200000000000003</v>
      </c>
      <c r="L16" s="4" t="s">
        <v>62</v>
      </c>
      <c r="M16" s="2">
        <v>4.4000000000000004</v>
      </c>
    </row>
    <row r="17" spans="1:13" x14ac:dyDescent="0.3">
      <c r="A17" s="4" t="s">
        <v>15</v>
      </c>
      <c r="B17" s="2">
        <v>244</v>
      </c>
      <c r="C17" s="10">
        <v>0.47563352826510719</v>
      </c>
      <c r="D17" s="10"/>
      <c r="F17" s="4" t="s">
        <v>63</v>
      </c>
      <c r="G17" s="1">
        <v>25</v>
      </c>
      <c r="I17" s="4" t="s">
        <v>63</v>
      </c>
      <c r="J17" s="2">
        <v>35.28</v>
      </c>
      <c r="L17" s="4" t="s">
        <v>63</v>
      </c>
      <c r="M17" s="2">
        <v>3.4545454545454546</v>
      </c>
    </row>
    <row r="18" spans="1:13" x14ac:dyDescent="0.3">
      <c r="A18" s="4" t="s">
        <v>4</v>
      </c>
      <c r="B18" s="2">
        <v>513</v>
      </c>
      <c r="C18" s="10">
        <v>1</v>
      </c>
      <c r="D18" s="10"/>
      <c r="F18" s="4" t="s">
        <v>64</v>
      </c>
      <c r="G18" s="1">
        <v>20</v>
      </c>
      <c r="I18" s="4" t="s">
        <v>64</v>
      </c>
      <c r="J18" s="2">
        <v>32.549999999999997</v>
      </c>
      <c r="L18" s="4" t="s">
        <v>64</v>
      </c>
      <c r="M18" s="2">
        <v>4.4000000000000004</v>
      </c>
    </row>
    <row r="19" spans="1:13" x14ac:dyDescent="0.3">
      <c r="F19" s="4" t="s">
        <v>65</v>
      </c>
      <c r="G19" s="1">
        <v>14</v>
      </c>
      <c r="I19" s="4" t="s">
        <v>65</v>
      </c>
      <c r="J19" s="2">
        <v>35.642857142857146</v>
      </c>
      <c r="L19" s="4" t="s">
        <v>65</v>
      </c>
      <c r="M19" s="2">
        <v>5.833333333333333</v>
      </c>
    </row>
    <row r="20" spans="1:13" x14ac:dyDescent="0.3">
      <c r="F20" s="4" t="s">
        <v>66</v>
      </c>
      <c r="G20" s="1">
        <v>17</v>
      </c>
      <c r="I20" s="4" t="s">
        <v>66</v>
      </c>
      <c r="J20" s="2">
        <v>38.764705882352942</v>
      </c>
      <c r="L20" s="4" t="s">
        <v>66</v>
      </c>
      <c r="M20" s="2">
        <v>4.4444444444444446</v>
      </c>
    </row>
    <row r="21" spans="1:13" x14ac:dyDescent="0.3">
      <c r="A21" s="15" t="s">
        <v>17</v>
      </c>
      <c r="B21" s="15" t="s">
        <v>19</v>
      </c>
      <c r="C21" s="15" t="s">
        <v>18</v>
      </c>
      <c r="D21" s="15"/>
      <c r="F21" s="4" t="s">
        <v>67</v>
      </c>
      <c r="G21" s="1">
        <v>20</v>
      </c>
      <c r="I21" s="4" t="s">
        <v>67</v>
      </c>
      <c r="J21" s="2">
        <v>39.9</v>
      </c>
      <c r="L21" s="4" t="s">
        <v>67</v>
      </c>
      <c r="M21" s="2">
        <v>5.333333333333333</v>
      </c>
    </row>
    <row r="22" spans="1:13" x14ac:dyDescent="0.3">
      <c r="A22" s="12" t="s">
        <v>14</v>
      </c>
      <c r="B22" s="13">
        <f>B16</f>
        <v>269</v>
      </c>
      <c r="C22" s="14">
        <f>C16</f>
        <v>0.52436647173489281</v>
      </c>
      <c r="D22" s="12"/>
      <c r="F22" s="4" t="s">
        <v>68</v>
      </c>
      <c r="G22" s="1">
        <v>10</v>
      </c>
      <c r="I22" s="4" t="s">
        <v>68</v>
      </c>
      <c r="J22" s="2">
        <v>41.6</v>
      </c>
      <c r="L22" s="4" t="s">
        <v>68</v>
      </c>
      <c r="M22" s="2">
        <v>5.333333333333333</v>
      </c>
    </row>
    <row r="23" spans="1:13" x14ac:dyDescent="0.3">
      <c r="A23" s="12" t="s">
        <v>15</v>
      </c>
      <c r="B23" s="13">
        <f>B17</f>
        <v>244</v>
      </c>
      <c r="C23" s="14">
        <f>C17</f>
        <v>0.47563352826510719</v>
      </c>
      <c r="D23" s="12"/>
      <c r="F23" s="4" t="s">
        <v>69</v>
      </c>
      <c r="G23" s="1">
        <v>17</v>
      </c>
      <c r="I23" s="4" t="s">
        <v>69</v>
      </c>
      <c r="J23" s="2">
        <v>39.470588235294116</v>
      </c>
      <c r="L23" s="4" t="s">
        <v>69</v>
      </c>
      <c r="M23" s="2">
        <v>5.5714285714285712</v>
      </c>
    </row>
    <row r="24" spans="1:13" x14ac:dyDescent="0.3">
      <c r="F24" s="4" t="s">
        <v>70</v>
      </c>
      <c r="G24" s="1">
        <v>15</v>
      </c>
      <c r="I24" s="4" t="s">
        <v>70</v>
      </c>
      <c r="J24" s="2">
        <v>27.733333333333334</v>
      </c>
      <c r="L24" s="4" t="s">
        <v>70</v>
      </c>
      <c r="M24" s="2">
        <v>5</v>
      </c>
    </row>
    <row r="25" spans="1:13" x14ac:dyDescent="0.3">
      <c r="A25" s="16" t="s">
        <v>41</v>
      </c>
      <c r="B25" s="16"/>
      <c r="F25" s="4" t="s">
        <v>71</v>
      </c>
      <c r="G25" s="1">
        <v>16</v>
      </c>
      <c r="I25" s="4" t="s">
        <v>71</v>
      </c>
      <c r="J25" s="2">
        <v>36.875</v>
      </c>
      <c r="L25" s="4" t="s">
        <v>71</v>
      </c>
      <c r="M25" s="2">
        <v>6.4</v>
      </c>
    </row>
    <row r="26" spans="1:13" x14ac:dyDescent="0.3">
      <c r="A26" s="3" t="s">
        <v>5</v>
      </c>
      <c r="B26" t="s">
        <v>28</v>
      </c>
      <c r="F26" s="4" t="s">
        <v>72</v>
      </c>
      <c r="G26" s="1">
        <v>18</v>
      </c>
      <c r="I26" s="4" t="s">
        <v>72</v>
      </c>
      <c r="J26" s="2">
        <v>40.333333333333336</v>
      </c>
      <c r="L26" s="4" t="s">
        <v>72</v>
      </c>
      <c r="M26" s="2">
        <v>5.333333333333333</v>
      </c>
    </row>
    <row r="27" spans="1:13" x14ac:dyDescent="0.3">
      <c r="A27" s="4" t="s">
        <v>20</v>
      </c>
      <c r="B27" s="11">
        <v>76</v>
      </c>
      <c r="D27" s="10"/>
      <c r="F27" s="4" t="s">
        <v>73</v>
      </c>
      <c r="G27" s="1">
        <v>16</v>
      </c>
      <c r="I27" s="4" t="s">
        <v>73</v>
      </c>
      <c r="J27" s="2">
        <v>36.5</v>
      </c>
      <c r="L27" s="4" t="s">
        <v>73</v>
      </c>
      <c r="M27" s="2">
        <v>3.75</v>
      </c>
    </row>
    <row r="28" spans="1:13" x14ac:dyDescent="0.3">
      <c r="A28" s="4" t="s">
        <v>21</v>
      </c>
      <c r="B28" s="11">
        <v>69</v>
      </c>
      <c r="D28" s="10"/>
      <c r="F28" s="4" t="s">
        <v>74</v>
      </c>
      <c r="G28" s="1">
        <v>15</v>
      </c>
      <c r="I28" s="4" t="s">
        <v>74</v>
      </c>
      <c r="J28" s="2">
        <v>32.866666666666667</v>
      </c>
      <c r="L28" s="4" t="s">
        <v>74</v>
      </c>
      <c r="M28" s="2">
        <v>6.333333333333333</v>
      </c>
    </row>
    <row r="29" spans="1:13" x14ac:dyDescent="0.3">
      <c r="A29" s="4" t="s">
        <v>22</v>
      </c>
      <c r="B29" s="11">
        <v>64</v>
      </c>
      <c r="D29" s="10"/>
      <c r="F29" s="4" t="s">
        <v>75</v>
      </c>
      <c r="G29" s="1">
        <v>14</v>
      </c>
      <c r="I29" s="4" t="s">
        <v>75</v>
      </c>
      <c r="J29" s="2">
        <v>36.642857142857146</v>
      </c>
      <c r="L29" s="4" t="s">
        <v>75</v>
      </c>
      <c r="M29" s="2">
        <v>10</v>
      </c>
    </row>
    <row r="30" spans="1:13" x14ac:dyDescent="0.3">
      <c r="A30" s="4" t="s">
        <v>23</v>
      </c>
      <c r="B30" s="11">
        <v>59</v>
      </c>
      <c r="F30" s="4" t="s">
        <v>76</v>
      </c>
      <c r="G30" s="1">
        <v>16</v>
      </c>
      <c r="I30" s="4" t="s">
        <v>76</v>
      </c>
      <c r="J30" s="2">
        <v>36.5625</v>
      </c>
      <c r="L30" s="4" t="s">
        <v>76</v>
      </c>
      <c r="M30" s="2">
        <v>5</v>
      </c>
    </row>
    <row r="31" spans="1:13" x14ac:dyDescent="0.3">
      <c r="A31" s="4" t="s">
        <v>24</v>
      </c>
      <c r="B31" s="11">
        <v>58</v>
      </c>
      <c r="F31" s="4" t="s">
        <v>77</v>
      </c>
      <c r="G31" s="1">
        <v>20</v>
      </c>
      <c r="I31" s="4" t="s">
        <v>77</v>
      </c>
      <c r="J31" s="2">
        <v>32.15</v>
      </c>
      <c r="L31" s="4" t="s">
        <v>77</v>
      </c>
      <c r="M31" s="2">
        <v>5.333333333333333</v>
      </c>
    </row>
    <row r="32" spans="1:13" x14ac:dyDescent="0.3">
      <c r="A32" s="4" t="s">
        <v>25</v>
      </c>
      <c r="B32" s="11">
        <v>66</v>
      </c>
      <c r="F32" s="4" t="s">
        <v>78</v>
      </c>
      <c r="G32" s="1">
        <v>19</v>
      </c>
      <c r="I32" s="4" t="s">
        <v>78</v>
      </c>
      <c r="J32" s="2">
        <v>38.368421052631582</v>
      </c>
      <c r="L32" s="4" t="s">
        <v>78</v>
      </c>
      <c r="M32" s="2">
        <v>4.8</v>
      </c>
    </row>
    <row r="33" spans="1:13" x14ac:dyDescent="0.3">
      <c r="A33" s="4" t="s">
        <v>26</v>
      </c>
      <c r="B33" s="11">
        <v>67</v>
      </c>
      <c r="F33" s="4" t="s">
        <v>79</v>
      </c>
      <c r="G33" s="1">
        <v>14</v>
      </c>
      <c r="I33" s="4" t="s">
        <v>79</v>
      </c>
      <c r="J33" s="2">
        <v>33.071428571428569</v>
      </c>
      <c r="L33" s="4" t="s">
        <v>79</v>
      </c>
      <c r="M33" s="2">
        <v>5</v>
      </c>
    </row>
    <row r="34" spans="1:13" x14ac:dyDescent="0.3">
      <c r="A34" s="4" t="s">
        <v>27</v>
      </c>
      <c r="B34" s="11">
        <v>54</v>
      </c>
      <c r="F34" s="4" t="s">
        <v>80</v>
      </c>
      <c r="G34" s="1">
        <v>18</v>
      </c>
      <c r="I34" s="4" t="s">
        <v>80</v>
      </c>
      <c r="J34" s="2">
        <v>36.444444444444443</v>
      </c>
      <c r="L34" s="4" t="s">
        <v>80</v>
      </c>
      <c r="M34" s="2">
        <v>1.4</v>
      </c>
    </row>
    <row r="35" spans="1:13" x14ac:dyDescent="0.3">
      <c r="A35" s="4" t="s">
        <v>4</v>
      </c>
      <c r="B35" s="11">
        <v>513</v>
      </c>
      <c r="F35" s="4" t="s">
        <v>4</v>
      </c>
      <c r="G35" s="1">
        <v>513</v>
      </c>
      <c r="I35" s="4" t="s">
        <v>4</v>
      </c>
      <c r="J35" s="2">
        <v>36.323586744639378</v>
      </c>
      <c r="L35" s="4" t="s">
        <v>4</v>
      </c>
      <c r="M35" s="2">
        <v>4.9591836734693882</v>
      </c>
    </row>
    <row r="38" spans="1:13" x14ac:dyDescent="0.3">
      <c r="A38" s="16" t="s">
        <v>44</v>
      </c>
      <c r="B38" s="16"/>
    </row>
    <row r="39" spans="1:13" x14ac:dyDescent="0.3">
      <c r="A39" s="3" t="s">
        <v>5</v>
      </c>
      <c r="B39" t="s">
        <v>43</v>
      </c>
    </row>
    <row r="40" spans="1:13" x14ac:dyDescent="0.3">
      <c r="A40" s="4" t="s">
        <v>31</v>
      </c>
      <c r="B40" s="11">
        <v>316</v>
      </c>
    </row>
    <row r="41" spans="1:13" x14ac:dyDescent="0.3">
      <c r="A41" s="4" t="s">
        <v>32</v>
      </c>
      <c r="B41" s="11">
        <v>197</v>
      </c>
    </row>
    <row r="42" spans="1:13" x14ac:dyDescent="0.3">
      <c r="A42" s="4" t="s">
        <v>4</v>
      </c>
      <c r="B42" s="11">
        <v>513</v>
      </c>
    </row>
    <row r="45" spans="1:13" x14ac:dyDescent="0.3">
      <c r="A45" s="16" t="s">
        <v>47</v>
      </c>
      <c r="B45" s="16"/>
    </row>
    <row r="46" spans="1:13" x14ac:dyDescent="0.3">
      <c r="A46" s="3" t="s">
        <v>5</v>
      </c>
      <c r="B46" t="s">
        <v>45</v>
      </c>
    </row>
    <row r="47" spans="1:13" x14ac:dyDescent="0.3">
      <c r="A47" s="4" t="s">
        <v>33</v>
      </c>
      <c r="B47" s="11">
        <v>241</v>
      </c>
    </row>
    <row r="48" spans="1:13" x14ac:dyDescent="0.3">
      <c r="A48" s="4" t="s">
        <v>29</v>
      </c>
      <c r="B48" s="11">
        <v>272</v>
      </c>
    </row>
    <row r="49" spans="1:2" x14ac:dyDescent="0.3">
      <c r="A49" s="4" t="s">
        <v>4</v>
      </c>
      <c r="B49" s="11">
        <v>513</v>
      </c>
    </row>
    <row r="52" spans="1:2" x14ac:dyDescent="0.3">
      <c r="A52" s="16" t="s">
        <v>48</v>
      </c>
      <c r="B52" s="16"/>
    </row>
    <row r="53" spans="1:2" x14ac:dyDescent="0.3">
      <c r="A53" s="3" t="s">
        <v>5</v>
      </c>
      <c r="B53" t="s">
        <v>46</v>
      </c>
    </row>
    <row r="54" spans="1:2" x14ac:dyDescent="0.3">
      <c r="A54" s="4" t="s">
        <v>39</v>
      </c>
      <c r="B54" s="11">
        <v>4</v>
      </c>
    </row>
    <row r="55" spans="1:2" x14ac:dyDescent="0.3">
      <c r="A55" s="4" t="s">
        <v>40</v>
      </c>
      <c r="B55" s="11">
        <v>5</v>
      </c>
    </row>
    <row r="56" spans="1:2" x14ac:dyDescent="0.3">
      <c r="A56" s="4" t="s">
        <v>38</v>
      </c>
      <c r="B56" s="11">
        <v>9</v>
      </c>
    </row>
    <row r="57" spans="1:2" x14ac:dyDescent="0.3">
      <c r="A57" s="4" t="s">
        <v>36</v>
      </c>
      <c r="B57" s="11">
        <v>14</v>
      </c>
    </row>
    <row r="58" spans="1:2" x14ac:dyDescent="0.3">
      <c r="A58" s="4" t="s">
        <v>37</v>
      </c>
      <c r="B58" s="11">
        <v>14</v>
      </c>
    </row>
    <row r="59" spans="1:2" x14ac:dyDescent="0.3">
      <c r="A59" s="4" t="s">
        <v>35</v>
      </c>
      <c r="B59" s="11">
        <v>65</v>
      </c>
    </row>
    <row r="60" spans="1:2" x14ac:dyDescent="0.3">
      <c r="A60" s="4" t="s">
        <v>34</v>
      </c>
      <c r="B60" s="11">
        <v>103</v>
      </c>
    </row>
    <row r="61" spans="1:2" x14ac:dyDescent="0.3">
      <c r="A61" s="4" t="s">
        <v>30</v>
      </c>
      <c r="B61" s="11">
        <v>299</v>
      </c>
    </row>
    <row r="62" spans="1:2" x14ac:dyDescent="0.3">
      <c r="A62" s="4" t="s">
        <v>4</v>
      </c>
      <c r="B62" s="11">
        <v>513</v>
      </c>
    </row>
    <row r="66" spans="1:1" x14ac:dyDescent="0.3">
      <c r="A66" s="3" t="s">
        <v>5</v>
      </c>
    </row>
    <row r="67" spans="1:1" x14ac:dyDescent="0.3">
      <c r="A67" s="4" t="s">
        <v>49</v>
      </c>
    </row>
    <row r="68" spans="1:1" x14ac:dyDescent="0.3">
      <c r="A68" s="4" t="s">
        <v>4</v>
      </c>
    </row>
  </sheetData>
  <mergeCells count="6">
    <mergeCell ref="A38:B38"/>
    <mergeCell ref="A45:B45"/>
    <mergeCell ref="A52:B52"/>
    <mergeCell ref="F2:G2"/>
    <mergeCell ref="A25:B25"/>
    <mergeCell ref="A14:B14"/>
  </mergeCells>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C032-C3CA-498E-877F-E04952231225}">
  <dimension ref="A1:N18"/>
  <sheetViews>
    <sheetView tabSelected="1" zoomScale="150" zoomScaleNormal="150" workbookViewId="0">
      <selection activeCell="O8" sqref="O8"/>
    </sheetView>
  </sheetViews>
  <sheetFormatPr defaultRowHeight="14.4" x14ac:dyDescent="0.3"/>
  <cols>
    <col min="4" max="4" width="8.88671875" customWidth="1"/>
  </cols>
  <sheetData>
    <row r="1" spans="1:14" x14ac:dyDescent="0.3">
      <c r="A1" s="9"/>
      <c r="B1" s="9"/>
      <c r="C1" s="9"/>
      <c r="D1" s="9"/>
      <c r="E1" s="9"/>
      <c r="F1" s="9"/>
      <c r="G1" s="9"/>
      <c r="H1" s="9"/>
      <c r="I1" s="9"/>
      <c r="J1" s="9"/>
      <c r="K1" s="9"/>
      <c r="L1" s="9"/>
      <c r="M1" s="9"/>
      <c r="N1" s="9"/>
    </row>
    <row r="2" spans="1:14" x14ac:dyDescent="0.3">
      <c r="A2" s="9"/>
      <c r="B2" s="9"/>
      <c r="C2" s="9"/>
      <c r="D2" s="9"/>
      <c r="E2" s="9"/>
      <c r="F2" s="9"/>
      <c r="G2" s="9"/>
      <c r="H2" s="9"/>
      <c r="I2" s="9"/>
      <c r="J2" s="9"/>
      <c r="K2" s="9"/>
      <c r="L2" s="9"/>
      <c r="M2" s="9"/>
      <c r="N2" s="9"/>
    </row>
    <row r="3" spans="1:14" x14ac:dyDescent="0.3">
      <c r="A3" s="9"/>
      <c r="B3" s="9"/>
      <c r="C3" s="9"/>
      <c r="D3" s="9"/>
      <c r="E3" s="9"/>
      <c r="F3" s="9"/>
      <c r="G3" s="9"/>
      <c r="H3" s="9"/>
      <c r="I3" s="9"/>
      <c r="J3" s="9"/>
      <c r="K3" s="9"/>
      <c r="L3" s="9"/>
      <c r="M3" s="9"/>
      <c r="N3" s="9"/>
    </row>
    <row r="4" spans="1:14" x14ac:dyDescent="0.3">
      <c r="A4" s="9"/>
      <c r="B4" s="9"/>
      <c r="C4" s="9"/>
      <c r="D4" s="9"/>
      <c r="E4" s="9"/>
      <c r="F4" s="9"/>
      <c r="G4" s="9"/>
      <c r="H4" s="9"/>
      <c r="I4" s="9"/>
      <c r="J4" s="9"/>
      <c r="K4" s="9"/>
      <c r="L4" s="9"/>
      <c r="M4" s="9"/>
      <c r="N4" s="9"/>
    </row>
    <row r="5" spans="1:14" x14ac:dyDescent="0.3">
      <c r="A5" s="9"/>
      <c r="B5" s="9"/>
      <c r="C5" s="9"/>
      <c r="D5" s="9"/>
      <c r="E5" s="9"/>
      <c r="F5" s="9"/>
      <c r="G5" s="9"/>
      <c r="H5" s="9"/>
      <c r="I5" s="9"/>
      <c r="J5" s="9"/>
      <c r="K5" s="9"/>
      <c r="L5" s="9"/>
      <c r="M5" s="9"/>
      <c r="N5" s="9"/>
    </row>
    <row r="6" spans="1:14" x14ac:dyDescent="0.3">
      <c r="A6" s="9"/>
      <c r="B6" s="9"/>
      <c r="C6" s="9"/>
      <c r="D6" s="9"/>
      <c r="E6" s="9"/>
      <c r="F6" s="9"/>
      <c r="G6" s="9"/>
      <c r="H6" s="9"/>
      <c r="I6" s="9"/>
      <c r="J6" s="9"/>
      <c r="K6" s="9"/>
      <c r="L6" s="9"/>
      <c r="M6" s="9"/>
      <c r="N6" s="9"/>
    </row>
    <row r="7" spans="1:14" x14ac:dyDescent="0.3">
      <c r="A7" s="9"/>
      <c r="B7" s="9"/>
      <c r="C7" s="9"/>
      <c r="D7" s="9"/>
      <c r="E7" s="9"/>
      <c r="F7" s="9"/>
      <c r="G7" s="9"/>
      <c r="H7" s="9"/>
      <c r="I7" s="9"/>
      <c r="J7" s="9"/>
      <c r="K7" s="9"/>
      <c r="L7" s="9"/>
      <c r="M7" s="9"/>
      <c r="N7" s="9"/>
    </row>
    <row r="8" spans="1:14" x14ac:dyDescent="0.3">
      <c r="A8" s="9"/>
      <c r="B8" s="9"/>
      <c r="C8" s="9"/>
      <c r="D8" s="9"/>
      <c r="E8" s="9"/>
      <c r="F8" s="9"/>
      <c r="G8" s="9"/>
      <c r="H8" s="9"/>
      <c r="I8" s="9"/>
      <c r="J8" s="9"/>
      <c r="K8" s="9"/>
      <c r="L8" s="9"/>
      <c r="M8" s="9"/>
      <c r="N8" s="9"/>
    </row>
    <row r="9" spans="1:14" x14ac:dyDescent="0.3">
      <c r="A9" s="9"/>
      <c r="B9" s="9"/>
      <c r="C9" s="9"/>
      <c r="D9" s="9"/>
      <c r="E9" s="9"/>
      <c r="F9" s="9"/>
      <c r="G9" s="9"/>
      <c r="H9" s="9"/>
      <c r="I9" s="9"/>
      <c r="J9" s="9"/>
      <c r="K9" s="9"/>
      <c r="L9" s="9"/>
      <c r="M9" s="9"/>
      <c r="N9" s="9"/>
    </row>
    <row r="10" spans="1:14" x14ac:dyDescent="0.3">
      <c r="A10" s="9"/>
      <c r="B10" s="9"/>
      <c r="C10" s="9"/>
      <c r="D10" s="9"/>
      <c r="E10" s="9"/>
      <c r="F10" s="9"/>
      <c r="G10" s="9"/>
      <c r="H10" s="9"/>
      <c r="I10" s="9"/>
      <c r="J10" s="9"/>
      <c r="K10" s="9"/>
      <c r="L10" s="9"/>
      <c r="M10" s="9"/>
      <c r="N10" s="9"/>
    </row>
    <row r="11" spans="1:14" x14ac:dyDescent="0.3">
      <c r="A11" s="9"/>
      <c r="B11" s="9"/>
      <c r="C11" s="9"/>
      <c r="D11" s="9"/>
      <c r="E11" s="9"/>
      <c r="F11" s="9"/>
      <c r="G11" s="9"/>
      <c r="H11" s="9"/>
      <c r="I11" s="9"/>
      <c r="J11" s="9"/>
      <c r="K11" s="9"/>
      <c r="L11" s="9"/>
      <c r="M11" s="9"/>
      <c r="N11" s="9"/>
    </row>
    <row r="12" spans="1:14" x14ac:dyDescent="0.3">
      <c r="A12" s="9"/>
      <c r="B12" s="9"/>
      <c r="C12" s="9"/>
      <c r="D12" s="9"/>
      <c r="E12" s="9"/>
      <c r="F12" s="9"/>
      <c r="G12" s="9"/>
      <c r="H12" s="9"/>
      <c r="I12" s="9"/>
      <c r="J12" s="9"/>
      <c r="K12" s="9"/>
      <c r="L12" s="9"/>
      <c r="M12" s="9"/>
      <c r="N12" s="9"/>
    </row>
    <row r="13" spans="1:14" x14ac:dyDescent="0.3">
      <c r="A13" s="9"/>
      <c r="B13" s="9"/>
      <c r="C13" s="9"/>
      <c r="D13" s="9"/>
      <c r="E13" s="9"/>
      <c r="F13" s="9"/>
      <c r="G13" s="9"/>
      <c r="H13" s="9"/>
      <c r="I13" s="9"/>
      <c r="J13" s="9"/>
      <c r="K13" s="9"/>
      <c r="L13" s="9"/>
      <c r="M13" s="9"/>
      <c r="N13" s="9"/>
    </row>
    <row r="14" spans="1:14" x14ac:dyDescent="0.3">
      <c r="A14" s="9"/>
      <c r="B14" s="9"/>
      <c r="C14" s="9"/>
      <c r="D14" s="9"/>
      <c r="E14" s="9"/>
      <c r="F14" s="9"/>
      <c r="G14" s="9"/>
      <c r="H14" s="9"/>
      <c r="I14" s="9"/>
      <c r="J14" s="9"/>
      <c r="K14" s="9"/>
      <c r="L14" s="9"/>
      <c r="M14" s="9"/>
      <c r="N14" s="9"/>
    </row>
    <row r="15" spans="1:14" x14ac:dyDescent="0.3">
      <c r="A15" s="9"/>
      <c r="B15" s="9"/>
      <c r="C15" s="9"/>
      <c r="D15" s="9"/>
      <c r="E15" s="9"/>
      <c r="F15" s="9"/>
      <c r="G15" s="9"/>
      <c r="H15" s="9"/>
      <c r="I15" s="9"/>
      <c r="J15" s="9"/>
      <c r="K15" s="9"/>
      <c r="L15" s="9"/>
      <c r="M15" s="9"/>
      <c r="N15" s="9"/>
    </row>
    <row r="16" spans="1:14" x14ac:dyDescent="0.3">
      <c r="A16" s="9"/>
      <c r="B16" s="9"/>
      <c r="C16" s="9"/>
      <c r="D16" s="9"/>
      <c r="E16" s="9"/>
      <c r="F16" s="9"/>
      <c r="G16" s="9"/>
      <c r="H16" s="9"/>
      <c r="I16" s="9"/>
      <c r="J16" s="9"/>
      <c r="K16" s="9"/>
      <c r="L16" s="9"/>
      <c r="M16" s="9"/>
      <c r="N16" s="9"/>
    </row>
    <row r="17" spans="1:14" x14ac:dyDescent="0.3">
      <c r="A17" s="9"/>
      <c r="B17" s="9"/>
      <c r="C17" s="9"/>
      <c r="D17" s="9"/>
      <c r="E17" s="9"/>
      <c r="F17" s="9"/>
      <c r="G17" s="9"/>
      <c r="H17" s="9"/>
      <c r="I17" s="9"/>
      <c r="J17" s="9"/>
      <c r="K17" s="9"/>
      <c r="L17" s="9"/>
      <c r="M17" s="9"/>
      <c r="N17" s="9"/>
    </row>
    <row r="18" spans="1:14" x14ac:dyDescent="0.3">
      <c r="A18" s="9"/>
      <c r="B18" s="9"/>
      <c r="C18" s="9"/>
      <c r="D18" s="9"/>
      <c r="E18" s="9"/>
      <c r="F18" s="9"/>
      <c r="G18" s="9"/>
      <c r="H18" s="9"/>
      <c r="I18" s="9"/>
      <c r="J18" s="9"/>
      <c r="K18" s="9"/>
      <c r="L18" s="9"/>
      <c r="M18" s="9"/>
      <c r="N18" s="9"/>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F15D-64DB-4265-A6ED-4A791D3754C5}">
  <dimension ref="B2:S27"/>
  <sheetViews>
    <sheetView workbookViewId="0"/>
  </sheetViews>
  <sheetFormatPr defaultRowHeight="14.4" x14ac:dyDescent="0.3"/>
  <sheetData>
    <row r="2" spans="2:17" x14ac:dyDescent="0.3">
      <c r="B2" s="5"/>
      <c r="C2" s="5"/>
      <c r="D2" s="5"/>
      <c r="E2" s="5"/>
      <c r="F2" s="5"/>
      <c r="G2" s="5"/>
      <c r="H2" s="5"/>
      <c r="I2" s="5"/>
      <c r="J2" s="5"/>
      <c r="K2" s="5"/>
      <c r="L2" s="5"/>
      <c r="M2" s="5"/>
      <c r="N2" s="5"/>
      <c r="O2" s="5"/>
      <c r="P2" s="5"/>
      <c r="Q2" s="5"/>
    </row>
    <row r="3" spans="2:17" x14ac:dyDescent="0.3">
      <c r="B3" s="5"/>
      <c r="C3" s="5"/>
      <c r="D3" s="5"/>
      <c r="E3" s="5"/>
      <c r="F3" s="5"/>
      <c r="G3" s="5"/>
      <c r="H3" s="5"/>
      <c r="I3" s="5"/>
      <c r="J3" s="5"/>
      <c r="K3" s="5"/>
      <c r="L3" s="5"/>
      <c r="M3" s="5"/>
      <c r="N3" s="5"/>
      <c r="O3" s="5"/>
      <c r="P3" s="5"/>
      <c r="Q3" s="5"/>
    </row>
    <row r="4" spans="2:17" x14ac:dyDescent="0.3">
      <c r="B4" s="5"/>
      <c r="C4" s="5"/>
      <c r="D4" s="5"/>
      <c r="E4" s="5"/>
      <c r="F4" s="5"/>
      <c r="G4" s="5"/>
      <c r="H4" s="5"/>
      <c r="I4" s="5"/>
      <c r="J4" s="5"/>
      <c r="K4" s="5"/>
      <c r="L4" s="5"/>
      <c r="M4" s="5"/>
      <c r="N4" s="5"/>
      <c r="O4" s="5"/>
      <c r="P4" s="5"/>
      <c r="Q4" s="5"/>
    </row>
    <row r="5" spans="2:17" x14ac:dyDescent="0.3">
      <c r="B5" s="5"/>
      <c r="C5" s="5"/>
      <c r="D5" s="5"/>
      <c r="E5" s="5"/>
      <c r="F5" s="5"/>
      <c r="G5" s="5"/>
      <c r="H5" s="5"/>
      <c r="I5" s="5"/>
      <c r="J5" s="5"/>
      <c r="K5" s="5"/>
      <c r="L5" s="5"/>
      <c r="M5" s="5"/>
      <c r="N5" s="5"/>
      <c r="O5" s="5"/>
      <c r="P5" s="5"/>
      <c r="Q5" s="5"/>
    </row>
    <row r="6" spans="2:17" x14ac:dyDescent="0.3">
      <c r="B6" s="5"/>
      <c r="C6" s="5"/>
      <c r="D6" s="5"/>
      <c r="E6" s="5"/>
      <c r="F6" s="5"/>
      <c r="G6" s="5"/>
      <c r="H6" s="5"/>
      <c r="I6" s="5"/>
      <c r="J6" s="5"/>
      <c r="K6" s="5"/>
      <c r="L6" s="5"/>
      <c r="M6" s="5"/>
      <c r="N6" s="5"/>
      <c r="O6" s="5"/>
      <c r="P6" s="5"/>
      <c r="Q6" s="5"/>
    </row>
    <row r="7" spans="2:17" x14ac:dyDescent="0.3">
      <c r="B7" s="5"/>
      <c r="C7" s="5"/>
      <c r="D7" s="5"/>
      <c r="E7" s="5"/>
      <c r="F7" s="5"/>
      <c r="G7" s="5"/>
      <c r="H7" s="5"/>
      <c r="I7" s="5"/>
      <c r="J7" s="5"/>
      <c r="K7" s="5"/>
      <c r="L7" s="5"/>
      <c r="M7" s="5"/>
      <c r="N7" s="5"/>
      <c r="O7" s="5"/>
      <c r="P7" s="5"/>
      <c r="Q7" s="5"/>
    </row>
    <row r="8" spans="2:17" x14ac:dyDescent="0.3">
      <c r="B8" s="5"/>
      <c r="C8" s="5"/>
      <c r="D8" s="5"/>
      <c r="E8" s="5"/>
      <c r="F8" s="5"/>
      <c r="G8" s="5"/>
      <c r="H8" s="5"/>
      <c r="I8" s="5"/>
      <c r="J8" s="5"/>
      <c r="K8" s="5"/>
      <c r="L8" s="5"/>
      <c r="M8" s="5"/>
      <c r="N8" s="5"/>
      <c r="O8" s="5"/>
      <c r="P8" s="5"/>
      <c r="Q8" s="5"/>
    </row>
    <row r="9" spans="2:17" x14ac:dyDescent="0.3">
      <c r="B9" s="5"/>
      <c r="C9" s="5"/>
      <c r="D9" s="5"/>
      <c r="E9" s="5"/>
      <c r="F9" s="5"/>
      <c r="G9" s="5"/>
      <c r="H9" s="5"/>
      <c r="I9" s="5"/>
      <c r="J9" s="5"/>
      <c r="K9" s="5"/>
      <c r="L9" s="5"/>
      <c r="M9" s="5"/>
      <c r="N9" s="5"/>
      <c r="O9" s="5"/>
      <c r="P9" s="5"/>
      <c r="Q9" s="5"/>
    </row>
    <row r="10" spans="2:17" x14ac:dyDescent="0.3">
      <c r="B10" s="5"/>
      <c r="C10" s="5"/>
      <c r="D10" s="5"/>
      <c r="E10" s="5"/>
      <c r="F10" s="5"/>
      <c r="G10" s="5"/>
      <c r="H10" s="5"/>
      <c r="I10" s="5"/>
      <c r="J10" s="5"/>
      <c r="K10" s="5"/>
      <c r="L10" s="5"/>
      <c r="M10" s="5"/>
      <c r="N10" s="5"/>
      <c r="O10" s="5"/>
      <c r="P10" s="5"/>
      <c r="Q10" s="5"/>
    </row>
    <row r="11" spans="2:17" x14ac:dyDescent="0.3">
      <c r="B11" s="5"/>
      <c r="C11" s="5"/>
      <c r="D11" s="5"/>
      <c r="E11" s="5"/>
      <c r="F11" s="5"/>
      <c r="G11" s="5"/>
      <c r="H11" s="5"/>
      <c r="I11" s="5"/>
      <c r="J11" s="5"/>
      <c r="K11" s="5"/>
      <c r="L11" s="5"/>
      <c r="M11" s="5"/>
      <c r="N11" s="5"/>
      <c r="O11" s="5"/>
      <c r="P11" s="5"/>
      <c r="Q11" s="5"/>
    </row>
    <row r="12" spans="2:17" x14ac:dyDescent="0.3">
      <c r="B12" s="5"/>
      <c r="C12" s="5"/>
      <c r="D12" s="5"/>
      <c r="E12" s="5"/>
      <c r="F12" s="5"/>
      <c r="G12" s="5"/>
      <c r="H12" s="5"/>
      <c r="I12" s="5"/>
      <c r="J12" s="5"/>
      <c r="K12" s="5"/>
      <c r="L12" s="5"/>
      <c r="M12" s="5"/>
      <c r="N12" s="5"/>
      <c r="O12" s="5"/>
      <c r="P12" s="5"/>
      <c r="Q12" s="5"/>
    </row>
    <row r="13" spans="2:17" x14ac:dyDescent="0.3">
      <c r="B13" s="5"/>
      <c r="C13" s="5"/>
      <c r="D13" s="5"/>
      <c r="E13" s="5"/>
      <c r="F13" s="5"/>
      <c r="G13" s="5"/>
      <c r="H13" s="5"/>
      <c r="I13" s="5"/>
      <c r="J13" s="5"/>
      <c r="K13" s="5"/>
      <c r="L13" s="5"/>
      <c r="M13" s="5"/>
      <c r="N13" s="5"/>
      <c r="O13" s="5"/>
      <c r="P13" s="5"/>
      <c r="Q13" s="5"/>
    </row>
    <row r="14" spans="2:17" x14ac:dyDescent="0.3">
      <c r="B14" s="5"/>
      <c r="C14" s="5"/>
      <c r="D14" s="5"/>
      <c r="E14" s="5"/>
      <c r="F14" s="5"/>
      <c r="G14" s="5"/>
      <c r="H14" s="5"/>
      <c r="I14" s="5"/>
      <c r="J14" s="5"/>
      <c r="K14" s="5"/>
      <c r="L14" s="5"/>
      <c r="M14" s="5"/>
      <c r="N14" s="5"/>
      <c r="O14" s="5"/>
      <c r="P14" s="5"/>
      <c r="Q14" s="5"/>
    </row>
    <row r="15" spans="2:17" x14ac:dyDescent="0.3">
      <c r="B15" s="5"/>
      <c r="C15" s="5"/>
      <c r="D15" s="5"/>
      <c r="E15" s="5"/>
      <c r="F15" s="5"/>
      <c r="G15" s="5"/>
      <c r="H15" s="5"/>
      <c r="I15" s="5"/>
      <c r="J15" s="5"/>
      <c r="K15" s="5"/>
      <c r="L15" s="5"/>
      <c r="M15" s="5"/>
      <c r="N15" s="5"/>
      <c r="O15" s="5"/>
      <c r="P15" s="5"/>
      <c r="Q15" s="5"/>
    </row>
    <row r="16" spans="2:17" x14ac:dyDescent="0.3">
      <c r="B16" s="5"/>
      <c r="C16" s="5"/>
      <c r="D16" s="5"/>
      <c r="E16" s="5"/>
      <c r="F16" s="5"/>
      <c r="G16" s="5"/>
      <c r="H16" s="5"/>
      <c r="I16" s="5"/>
      <c r="J16" s="5"/>
      <c r="K16" s="5"/>
      <c r="L16" s="5"/>
      <c r="M16" s="5"/>
      <c r="N16" s="5"/>
      <c r="O16" s="5"/>
      <c r="P16" s="5"/>
      <c r="Q16" s="5"/>
    </row>
    <row r="17" spans="2:19" x14ac:dyDescent="0.3">
      <c r="B17" s="5"/>
      <c r="C17" s="5"/>
      <c r="D17" s="5"/>
      <c r="E17" s="5"/>
      <c r="F17" s="5"/>
      <c r="G17" s="5"/>
      <c r="H17" s="5"/>
      <c r="I17" s="5"/>
      <c r="J17" s="5"/>
      <c r="K17" s="5"/>
      <c r="L17" s="5"/>
      <c r="M17" s="5"/>
      <c r="N17" s="5"/>
      <c r="O17" s="5"/>
      <c r="P17" s="5"/>
      <c r="Q17" s="5"/>
    </row>
    <row r="18" spans="2:19" x14ac:dyDescent="0.3">
      <c r="B18" s="5"/>
      <c r="C18" s="5"/>
      <c r="D18" s="5"/>
      <c r="E18" s="5"/>
      <c r="F18" s="5"/>
      <c r="G18" s="5"/>
      <c r="H18" s="5"/>
      <c r="I18" s="5"/>
      <c r="J18" s="5"/>
      <c r="K18" s="5"/>
      <c r="L18" s="5"/>
      <c r="M18" s="5"/>
      <c r="N18" s="5"/>
      <c r="O18" s="5"/>
      <c r="P18" s="5"/>
      <c r="Q18" s="5"/>
    </row>
    <row r="19" spans="2:19" x14ac:dyDescent="0.3">
      <c r="B19" s="5"/>
      <c r="C19" s="5"/>
      <c r="D19" s="5"/>
      <c r="E19" s="5"/>
      <c r="F19" s="5"/>
      <c r="G19" s="5"/>
      <c r="H19" s="5"/>
      <c r="I19" s="5"/>
      <c r="J19" s="5"/>
      <c r="K19" s="5"/>
      <c r="L19" s="5"/>
      <c r="M19" s="5"/>
      <c r="N19" s="5"/>
      <c r="O19" s="5"/>
      <c r="P19" s="5"/>
      <c r="Q19" s="5"/>
    </row>
    <row r="20" spans="2:19" x14ac:dyDescent="0.3">
      <c r="B20" s="5"/>
      <c r="C20" s="5"/>
      <c r="D20" s="5"/>
      <c r="E20" s="5"/>
      <c r="F20" s="5"/>
      <c r="G20" s="5"/>
      <c r="H20" s="5"/>
      <c r="I20" s="5"/>
      <c r="J20" s="5"/>
      <c r="K20" s="5"/>
      <c r="L20" s="5"/>
      <c r="M20" s="5"/>
      <c r="N20" s="5"/>
      <c r="O20" s="5"/>
      <c r="P20" s="5"/>
      <c r="Q20" s="5"/>
      <c r="S20" s="6"/>
    </row>
    <row r="21" spans="2:19" x14ac:dyDescent="0.3">
      <c r="B21" s="5"/>
      <c r="C21" s="5"/>
      <c r="D21" s="5"/>
      <c r="E21" s="5"/>
      <c r="F21" s="5"/>
      <c r="G21" s="5"/>
      <c r="H21" s="5"/>
      <c r="I21" s="5"/>
      <c r="J21" s="5"/>
      <c r="K21" s="5"/>
      <c r="L21" s="5"/>
      <c r="M21" s="5"/>
      <c r="N21" s="5"/>
      <c r="O21" s="5"/>
      <c r="P21" s="5"/>
      <c r="Q21" s="5"/>
    </row>
    <row r="22" spans="2:19" x14ac:dyDescent="0.3">
      <c r="B22" s="5"/>
      <c r="C22" s="5"/>
      <c r="D22" s="5"/>
      <c r="E22" s="5"/>
      <c r="F22" s="5"/>
      <c r="G22" s="5"/>
      <c r="H22" s="5"/>
      <c r="I22" s="5"/>
      <c r="J22" s="5"/>
      <c r="K22" s="5"/>
      <c r="L22" s="5"/>
      <c r="M22" s="5"/>
      <c r="N22" s="5"/>
      <c r="O22" s="5"/>
      <c r="P22" s="5"/>
      <c r="Q22" s="5"/>
    </row>
    <row r="23" spans="2:19" x14ac:dyDescent="0.3">
      <c r="B23" s="5"/>
      <c r="C23" s="5"/>
      <c r="D23" s="5"/>
      <c r="E23" s="5"/>
      <c r="F23" s="5"/>
      <c r="G23" s="5"/>
      <c r="H23" s="5"/>
      <c r="I23" s="5"/>
      <c r="J23" s="5"/>
      <c r="K23" s="5"/>
      <c r="L23" s="5"/>
      <c r="M23" s="5"/>
      <c r="N23" s="5"/>
      <c r="O23" s="5"/>
      <c r="P23" s="5"/>
      <c r="Q23" s="5"/>
    </row>
    <row r="24" spans="2:19" x14ac:dyDescent="0.3">
      <c r="B24" s="5"/>
      <c r="C24" s="5"/>
      <c r="D24" s="5"/>
      <c r="E24" s="5"/>
      <c r="F24" s="5"/>
      <c r="G24" s="5"/>
      <c r="H24" s="5"/>
      <c r="I24" s="5"/>
      <c r="J24" s="5"/>
      <c r="K24" s="5"/>
      <c r="L24" s="5"/>
      <c r="M24" s="5"/>
      <c r="N24" s="5"/>
      <c r="O24" s="5"/>
      <c r="P24" s="5"/>
      <c r="Q24" s="5"/>
    </row>
    <row r="25" spans="2:19" x14ac:dyDescent="0.3">
      <c r="B25" s="5"/>
      <c r="C25" s="5"/>
      <c r="D25" s="5"/>
      <c r="E25" s="5"/>
      <c r="F25" s="5"/>
      <c r="G25" s="5"/>
      <c r="H25" s="5"/>
      <c r="I25" s="5"/>
      <c r="J25" s="5"/>
      <c r="K25" s="5"/>
      <c r="L25" s="5"/>
      <c r="M25" s="5"/>
      <c r="N25" s="5"/>
      <c r="O25" s="5"/>
      <c r="P25" s="5"/>
      <c r="Q25" s="5"/>
    </row>
    <row r="26" spans="2:19" x14ac:dyDescent="0.3">
      <c r="B26" s="5"/>
      <c r="C26" s="5"/>
      <c r="D26" s="5"/>
      <c r="E26" s="5"/>
      <c r="F26" s="5"/>
      <c r="G26" s="5"/>
      <c r="H26" s="5"/>
      <c r="I26" s="5"/>
      <c r="J26" s="5"/>
      <c r="K26" s="5"/>
      <c r="L26" s="5"/>
      <c r="M26" s="5"/>
      <c r="N26" s="5"/>
      <c r="O26" s="5"/>
      <c r="P26" s="5"/>
      <c r="Q26" s="5"/>
    </row>
    <row r="27" spans="2:19" x14ac:dyDescent="0.3">
      <c r="B27" s="5"/>
      <c r="C27" s="18" t="s">
        <v>6</v>
      </c>
      <c r="D27" s="18"/>
      <c r="E27" s="18"/>
      <c r="F27" s="18"/>
      <c r="G27" s="18"/>
      <c r="H27" s="18"/>
      <c r="I27" s="18"/>
      <c r="J27" s="18"/>
      <c r="K27" s="18"/>
      <c r="L27" s="18"/>
      <c r="M27" s="18"/>
      <c r="N27" s="18"/>
      <c r="O27" s="18"/>
      <c r="P27" s="18"/>
      <c r="Q27" s="5"/>
    </row>
  </sheetData>
  <mergeCells count="1">
    <mergeCell ref="C27:P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1CA8-BF68-4D98-958C-3A3C1D2D5BBD}">
  <dimension ref="B2:Q27"/>
  <sheetViews>
    <sheetView workbookViewId="0"/>
  </sheetViews>
  <sheetFormatPr defaultRowHeight="14.4" x14ac:dyDescent="0.3"/>
  <sheetData>
    <row r="2" spans="2:17" x14ac:dyDescent="0.3">
      <c r="B2" s="5"/>
      <c r="C2" s="5"/>
      <c r="D2" s="5"/>
      <c r="E2" s="5"/>
      <c r="F2" s="5"/>
      <c r="G2" s="5"/>
      <c r="H2" s="5"/>
      <c r="I2" s="5"/>
      <c r="J2" s="5"/>
      <c r="K2" s="5"/>
      <c r="L2" s="5"/>
      <c r="M2" s="5"/>
      <c r="N2" s="5"/>
      <c r="O2" s="5"/>
      <c r="P2" s="5"/>
      <c r="Q2" s="5"/>
    </row>
    <row r="3" spans="2:17" x14ac:dyDescent="0.3">
      <c r="B3" s="5"/>
      <c r="C3" s="5"/>
      <c r="D3" s="5"/>
      <c r="E3" s="5"/>
      <c r="F3" s="5"/>
      <c r="G3" s="5"/>
      <c r="H3" s="5"/>
      <c r="I3" s="5"/>
      <c r="J3" s="5"/>
      <c r="K3" s="5"/>
      <c r="L3" s="5"/>
      <c r="M3" s="5"/>
      <c r="N3" s="5"/>
      <c r="O3" s="5"/>
      <c r="P3" s="5"/>
      <c r="Q3" s="5"/>
    </row>
    <row r="4" spans="2:17" x14ac:dyDescent="0.3">
      <c r="B4" s="5"/>
      <c r="C4" s="5"/>
      <c r="D4" s="5"/>
      <c r="E4" s="5"/>
      <c r="F4" s="5"/>
      <c r="G4" s="5"/>
      <c r="H4" s="5"/>
      <c r="I4" s="5"/>
      <c r="J4" s="5"/>
      <c r="K4" s="5"/>
      <c r="L4" s="5"/>
      <c r="M4" s="5"/>
      <c r="N4" s="5"/>
      <c r="O4" s="5"/>
      <c r="P4" s="5"/>
      <c r="Q4" s="5"/>
    </row>
    <row r="5" spans="2:17" x14ac:dyDescent="0.3">
      <c r="B5" s="5"/>
      <c r="C5" s="5"/>
      <c r="D5" s="5"/>
      <c r="E5" s="5"/>
      <c r="F5" s="5"/>
      <c r="G5" s="5"/>
      <c r="H5" s="5"/>
      <c r="I5" s="5"/>
      <c r="J5" s="5"/>
      <c r="K5" s="5"/>
      <c r="L5" s="5"/>
      <c r="M5" s="5"/>
      <c r="N5" s="5"/>
      <c r="O5" s="5"/>
      <c r="P5" s="5"/>
      <c r="Q5" s="5"/>
    </row>
    <row r="6" spans="2:17" x14ac:dyDescent="0.3">
      <c r="B6" s="5"/>
      <c r="C6" s="5"/>
      <c r="D6" s="5"/>
      <c r="E6" s="5"/>
      <c r="F6" s="5"/>
      <c r="G6" s="5"/>
      <c r="H6" s="5"/>
      <c r="I6" s="5"/>
      <c r="J6" s="5"/>
      <c r="K6" s="5"/>
      <c r="L6" s="5"/>
      <c r="M6" s="5"/>
      <c r="N6" s="5"/>
      <c r="O6" s="5"/>
      <c r="P6" s="5"/>
      <c r="Q6" s="5"/>
    </row>
    <row r="7" spans="2:17" x14ac:dyDescent="0.3">
      <c r="B7" s="5"/>
      <c r="C7" s="5"/>
      <c r="D7" s="5"/>
      <c r="E7" s="5"/>
      <c r="F7" s="5"/>
      <c r="G7" s="5"/>
      <c r="H7" s="5"/>
      <c r="I7" s="5"/>
      <c r="J7" s="5"/>
      <c r="K7" s="5"/>
      <c r="L7" s="5"/>
      <c r="M7" s="5"/>
      <c r="N7" s="5"/>
      <c r="O7" s="5"/>
      <c r="P7" s="5"/>
      <c r="Q7" s="5"/>
    </row>
    <row r="8" spans="2:17" x14ac:dyDescent="0.3">
      <c r="B8" s="5"/>
      <c r="C8" s="5"/>
      <c r="D8" s="5"/>
      <c r="E8" s="5"/>
      <c r="F8" s="5"/>
      <c r="G8" s="5"/>
      <c r="H8" s="5"/>
      <c r="I8" s="5"/>
      <c r="J8" s="5"/>
      <c r="K8" s="5"/>
      <c r="L8" s="5"/>
      <c r="M8" s="5"/>
      <c r="N8" s="5"/>
      <c r="O8" s="5"/>
      <c r="P8" s="5"/>
      <c r="Q8" s="5"/>
    </row>
    <row r="9" spans="2:17" x14ac:dyDescent="0.3">
      <c r="B9" s="5"/>
      <c r="C9" s="5"/>
      <c r="D9" s="5"/>
      <c r="E9" s="5"/>
      <c r="F9" s="5"/>
      <c r="G9" s="5"/>
      <c r="H9" s="5"/>
      <c r="I9" s="5"/>
      <c r="J9" s="5"/>
      <c r="K9" s="5"/>
      <c r="L9" s="5"/>
      <c r="M9" s="5"/>
      <c r="N9" s="5"/>
      <c r="O9" s="5"/>
      <c r="P9" s="5"/>
      <c r="Q9" s="5"/>
    </row>
    <row r="10" spans="2:17" x14ac:dyDescent="0.3">
      <c r="B10" s="5"/>
      <c r="C10" s="5"/>
      <c r="D10" s="5"/>
      <c r="E10" s="5"/>
      <c r="F10" s="5"/>
      <c r="G10" s="5"/>
      <c r="H10" s="5"/>
      <c r="I10" s="5"/>
      <c r="J10" s="5"/>
      <c r="K10" s="5"/>
      <c r="L10" s="5"/>
      <c r="M10" s="5"/>
      <c r="N10" s="5"/>
      <c r="O10" s="5"/>
      <c r="P10" s="5"/>
      <c r="Q10" s="5"/>
    </row>
    <row r="11" spans="2:17" x14ac:dyDescent="0.3">
      <c r="B11" s="5"/>
      <c r="C11" s="5"/>
      <c r="D11" s="5"/>
      <c r="E11" s="5"/>
      <c r="F11" s="5"/>
      <c r="G11" s="5"/>
      <c r="H11" s="5"/>
      <c r="I11" s="5"/>
      <c r="J11" s="5"/>
      <c r="K11" s="5"/>
      <c r="L11" s="5"/>
      <c r="M11" s="5"/>
      <c r="N11" s="5"/>
      <c r="O11" s="5"/>
      <c r="P11" s="5"/>
      <c r="Q11" s="5"/>
    </row>
    <row r="12" spans="2:17" x14ac:dyDescent="0.3">
      <c r="B12" s="5"/>
      <c r="C12" s="5"/>
      <c r="D12" s="5"/>
      <c r="E12" s="5"/>
      <c r="F12" s="5"/>
      <c r="G12" s="5"/>
      <c r="H12" s="5"/>
      <c r="I12" s="5"/>
      <c r="J12" s="5"/>
      <c r="K12" s="5"/>
      <c r="L12" s="5"/>
      <c r="M12" s="5"/>
      <c r="N12" s="5"/>
      <c r="O12" s="5"/>
      <c r="P12" s="5"/>
      <c r="Q12" s="5"/>
    </row>
    <row r="13" spans="2:17" x14ac:dyDescent="0.3">
      <c r="B13" s="5"/>
      <c r="C13" s="5"/>
      <c r="D13" s="5"/>
      <c r="E13" s="5"/>
      <c r="F13" s="5"/>
      <c r="G13" s="5"/>
      <c r="H13" s="5"/>
      <c r="I13" s="5"/>
      <c r="J13" s="5"/>
      <c r="K13" s="5"/>
      <c r="L13" s="5"/>
      <c r="M13" s="5"/>
      <c r="N13" s="5"/>
      <c r="O13" s="5"/>
      <c r="P13" s="5"/>
      <c r="Q13" s="5"/>
    </row>
    <row r="14" spans="2:17" x14ac:dyDescent="0.3">
      <c r="B14" s="5"/>
      <c r="C14" s="5"/>
      <c r="D14" s="5"/>
      <c r="E14" s="5"/>
      <c r="F14" s="5"/>
      <c r="G14" s="5"/>
      <c r="H14" s="5"/>
      <c r="I14" s="5"/>
      <c r="J14" s="5"/>
      <c r="K14" s="5"/>
      <c r="L14" s="5"/>
      <c r="M14" s="5"/>
      <c r="N14" s="5"/>
      <c r="O14" s="5"/>
      <c r="P14" s="5"/>
      <c r="Q14" s="5"/>
    </row>
    <row r="15" spans="2:17" x14ac:dyDescent="0.3">
      <c r="B15" s="5"/>
      <c r="C15" s="5"/>
      <c r="D15" s="5"/>
      <c r="E15" s="5"/>
      <c r="F15" s="5"/>
      <c r="G15" s="5"/>
      <c r="H15" s="5"/>
      <c r="I15" s="5"/>
      <c r="J15" s="5"/>
      <c r="K15" s="5"/>
      <c r="L15" s="5"/>
      <c r="M15" s="5"/>
      <c r="N15" s="5"/>
      <c r="O15" s="5"/>
      <c r="P15" s="5"/>
      <c r="Q15" s="5"/>
    </row>
    <row r="16" spans="2:17" x14ac:dyDescent="0.3">
      <c r="B16" s="5"/>
      <c r="C16" s="5"/>
      <c r="D16" s="5"/>
      <c r="E16" s="5"/>
      <c r="F16" s="5"/>
      <c r="G16" s="5"/>
      <c r="H16" s="5"/>
      <c r="I16" s="5"/>
      <c r="J16" s="5"/>
      <c r="K16" s="5"/>
      <c r="L16" s="5"/>
      <c r="M16" s="5"/>
      <c r="N16" s="5"/>
      <c r="O16" s="5"/>
      <c r="P16" s="5"/>
      <c r="Q16" s="5"/>
    </row>
    <row r="17" spans="2:17" x14ac:dyDescent="0.3">
      <c r="B17" s="5"/>
      <c r="C17" s="5"/>
      <c r="D17" s="5"/>
      <c r="E17" s="5"/>
      <c r="F17" s="5"/>
      <c r="G17" s="5"/>
      <c r="H17" s="5"/>
      <c r="I17" s="5"/>
      <c r="J17" s="5"/>
      <c r="K17" s="5"/>
      <c r="L17" s="5"/>
      <c r="M17" s="5"/>
      <c r="N17" s="5"/>
      <c r="O17" s="5"/>
      <c r="P17" s="5"/>
      <c r="Q17" s="5"/>
    </row>
    <row r="18" spans="2:17" x14ac:dyDescent="0.3">
      <c r="B18" s="5"/>
      <c r="C18" s="5"/>
      <c r="D18" s="5"/>
      <c r="E18" s="5"/>
      <c r="F18" s="5"/>
      <c r="G18" s="5"/>
      <c r="H18" s="5"/>
      <c r="I18" s="5"/>
      <c r="J18" s="5"/>
      <c r="K18" s="5"/>
      <c r="L18" s="5"/>
      <c r="M18" s="5"/>
      <c r="N18" s="5"/>
      <c r="O18" s="5"/>
      <c r="P18" s="5"/>
      <c r="Q18" s="5"/>
    </row>
    <row r="19" spans="2:17" x14ac:dyDescent="0.3">
      <c r="B19" s="5"/>
      <c r="C19" s="5"/>
      <c r="D19" s="5"/>
      <c r="E19" s="5"/>
      <c r="F19" s="5"/>
      <c r="G19" s="5"/>
      <c r="H19" s="5"/>
      <c r="I19" s="5"/>
      <c r="J19" s="5"/>
      <c r="K19" s="5"/>
      <c r="L19" s="5"/>
      <c r="M19" s="5"/>
      <c r="N19" s="5"/>
      <c r="O19" s="5"/>
      <c r="P19" s="5"/>
      <c r="Q19" s="5"/>
    </row>
    <row r="20" spans="2:17" x14ac:dyDescent="0.3">
      <c r="B20" s="5"/>
      <c r="C20" s="5"/>
      <c r="D20" s="5"/>
      <c r="E20" s="5"/>
      <c r="F20" s="5"/>
      <c r="G20" s="5"/>
      <c r="H20" s="5"/>
      <c r="I20" s="5"/>
      <c r="J20" s="5"/>
      <c r="K20" s="5"/>
      <c r="L20" s="5"/>
      <c r="M20" s="5"/>
      <c r="N20" s="5"/>
      <c r="O20" s="5"/>
      <c r="P20" s="5"/>
      <c r="Q20" s="5"/>
    </row>
    <row r="21" spans="2:17" x14ac:dyDescent="0.3">
      <c r="B21" s="5"/>
      <c r="C21" s="5"/>
      <c r="D21" s="5"/>
      <c r="E21" s="5"/>
      <c r="F21" s="5"/>
      <c r="G21" s="5"/>
      <c r="H21" s="5"/>
      <c r="I21" s="5"/>
      <c r="J21" s="5"/>
      <c r="K21" s="5"/>
      <c r="L21" s="5"/>
      <c r="M21" s="5"/>
      <c r="N21" s="5"/>
      <c r="O21" s="5"/>
      <c r="P21" s="5"/>
      <c r="Q21" s="5"/>
    </row>
    <row r="22" spans="2:17" x14ac:dyDescent="0.3">
      <c r="B22" s="5"/>
      <c r="C22" s="5"/>
      <c r="D22" s="5"/>
      <c r="E22" s="5"/>
      <c r="F22" s="5"/>
      <c r="G22" s="5"/>
      <c r="H22" s="5"/>
      <c r="I22" s="5"/>
      <c r="J22" s="5"/>
      <c r="K22" s="5"/>
      <c r="L22" s="5"/>
      <c r="M22" s="5"/>
      <c r="N22" s="5"/>
      <c r="O22" s="5"/>
      <c r="P22" s="5"/>
      <c r="Q22" s="5"/>
    </row>
    <row r="23" spans="2:17" x14ac:dyDescent="0.3">
      <c r="B23" s="5"/>
      <c r="C23" s="5"/>
      <c r="D23" s="5"/>
      <c r="E23" s="5"/>
      <c r="F23" s="5"/>
      <c r="G23" s="5"/>
      <c r="H23" s="5"/>
      <c r="I23" s="5"/>
      <c r="J23" s="5"/>
      <c r="K23" s="5"/>
      <c r="L23" s="5"/>
      <c r="M23" s="5"/>
      <c r="N23" s="5"/>
      <c r="O23" s="5"/>
      <c r="P23" s="5"/>
      <c r="Q23" s="5"/>
    </row>
    <row r="24" spans="2:17" x14ac:dyDescent="0.3">
      <c r="B24" s="5"/>
      <c r="C24" s="5"/>
      <c r="D24" s="5"/>
      <c r="E24" s="5"/>
      <c r="F24" s="5"/>
      <c r="G24" s="5"/>
      <c r="H24" s="5"/>
      <c r="I24" s="5"/>
      <c r="J24" s="5"/>
      <c r="K24" s="5"/>
      <c r="L24" s="5"/>
      <c r="M24" s="5"/>
      <c r="N24" s="5"/>
      <c r="O24" s="5"/>
      <c r="P24" s="5"/>
      <c r="Q24" s="5"/>
    </row>
    <row r="25" spans="2:17" x14ac:dyDescent="0.3">
      <c r="B25" s="5"/>
      <c r="C25" s="5"/>
      <c r="D25" s="5"/>
      <c r="E25" s="5"/>
      <c r="F25" s="5"/>
      <c r="G25" s="5"/>
      <c r="H25" s="5"/>
      <c r="I25" s="5"/>
      <c r="J25" s="5"/>
      <c r="K25" s="5"/>
      <c r="L25" s="5"/>
      <c r="M25" s="5"/>
      <c r="N25" s="5"/>
      <c r="O25" s="5"/>
      <c r="P25" s="5"/>
      <c r="Q25" s="5"/>
    </row>
    <row r="26" spans="2:17" x14ac:dyDescent="0.3">
      <c r="B26" s="5"/>
      <c r="C26" s="5"/>
      <c r="D26" s="5"/>
      <c r="E26" s="5"/>
      <c r="F26" s="5"/>
      <c r="G26" s="5"/>
      <c r="H26" s="5"/>
      <c r="I26" s="5"/>
      <c r="J26" s="5"/>
      <c r="K26" s="5"/>
      <c r="L26" s="5"/>
      <c r="M26" s="5"/>
      <c r="N26" s="5"/>
      <c r="O26" s="5"/>
      <c r="P26" s="5"/>
      <c r="Q26" s="5"/>
    </row>
    <row r="27" spans="2:17" x14ac:dyDescent="0.3">
      <c r="B27" s="5"/>
      <c r="C27" s="18" t="s">
        <v>10</v>
      </c>
      <c r="D27" s="18"/>
      <c r="E27" s="18"/>
      <c r="F27" s="18"/>
      <c r="G27" s="18"/>
      <c r="H27" s="18"/>
      <c r="I27" s="18"/>
      <c r="J27" s="18"/>
      <c r="K27" s="18"/>
      <c r="L27" s="18"/>
      <c r="M27" s="18"/>
      <c r="N27" s="18"/>
      <c r="O27" s="18"/>
      <c r="P27" s="18"/>
      <c r="Q27" s="5"/>
    </row>
  </sheetData>
  <mergeCells count="1">
    <mergeCell ref="C27:P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736BB-8ECA-47DD-9674-46AD005C504D}">
  <dimension ref="B2:Q27"/>
  <sheetViews>
    <sheetView workbookViewId="0"/>
  </sheetViews>
  <sheetFormatPr defaultRowHeight="14.4" x14ac:dyDescent="0.3"/>
  <sheetData>
    <row r="2" spans="2:17" x14ac:dyDescent="0.3">
      <c r="B2" s="5"/>
      <c r="C2" s="5"/>
      <c r="D2" s="5"/>
      <c r="E2" s="5"/>
      <c r="F2" s="5"/>
      <c r="G2" s="5"/>
      <c r="H2" s="5"/>
      <c r="I2" s="5"/>
      <c r="J2" s="5"/>
      <c r="K2" s="5"/>
      <c r="L2" s="5"/>
      <c r="M2" s="5"/>
      <c r="N2" s="5"/>
      <c r="O2" s="5"/>
      <c r="P2" s="5"/>
      <c r="Q2" s="5"/>
    </row>
    <row r="3" spans="2:17" x14ac:dyDescent="0.3">
      <c r="B3" s="5"/>
      <c r="C3" s="5"/>
      <c r="D3" s="5"/>
      <c r="E3" s="5"/>
      <c r="F3" s="5"/>
      <c r="G3" s="5"/>
      <c r="H3" s="5"/>
      <c r="I3" s="5"/>
      <c r="J3" s="5"/>
      <c r="K3" s="5"/>
      <c r="L3" s="5"/>
      <c r="M3" s="5"/>
      <c r="N3" s="5"/>
      <c r="O3" s="5"/>
      <c r="P3" s="5"/>
      <c r="Q3" s="5"/>
    </row>
    <row r="4" spans="2:17" x14ac:dyDescent="0.3">
      <c r="B4" s="5"/>
      <c r="C4" s="5"/>
      <c r="D4" s="5"/>
      <c r="E4" s="5"/>
      <c r="F4" s="5"/>
      <c r="G4" s="5"/>
      <c r="H4" s="5"/>
      <c r="I4" s="5"/>
      <c r="J4" s="5"/>
      <c r="K4" s="5"/>
      <c r="L4" s="5"/>
      <c r="M4" s="5"/>
      <c r="N4" s="5"/>
      <c r="O4" s="5"/>
      <c r="P4" s="5"/>
      <c r="Q4" s="5"/>
    </row>
    <row r="5" spans="2:17" x14ac:dyDescent="0.3">
      <c r="B5" s="5"/>
      <c r="C5" s="5"/>
      <c r="D5" s="5"/>
      <c r="E5" s="5"/>
      <c r="F5" s="5"/>
      <c r="G5" s="5"/>
      <c r="H5" s="5"/>
      <c r="I5" s="5"/>
      <c r="J5" s="5"/>
      <c r="K5" s="5"/>
      <c r="L5" s="5"/>
      <c r="M5" s="5"/>
      <c r="N5" s="5"/>
      <c r="O5" s="5"/>
      <c r="P5" s="5"/>
      <c r="Q5" s="5"/>
    </row>
    <row r="6" spans="2:17" x14ac:dyDescent="0.3">
      <c r="B6" s="5"/>
      <c r="C6" s="5"/>
      <c r="D6" s="5"/>
      <c r="E6" s="5"/>
      <c r="F6" s="5"/>
      <c r="G6" s="5"/>
      <c r="H6" s="5"/>
      <c r="I6" s="5"/>
      <c r="J6" s="5"/>
      <c r="K6" s="5"/>
      <c r="L6" s="5"/>
      <c r="M6" s="5"/>
      <c r="N6" s="5"/>
      <c r="O6" s="5"/>
      <c r="P6" s="5"/>
      <c r="Q6" s="5"/>
    </row>
    <row r="7" spans="2:17" x14ac:dyDescent="0.3">
      <c r="B7" s="5"/>
      <c r="C7" s="5"/>
      <c r="D7" s="5"/>
      <c r="E7" s="5"/>
      <c r="F7" s="5"/>
      <c r="G7" s="5"/>
      <c r="H7" s="5"/>
      <c r="I7" s="5"/>
      <c r="J7" s="5"/>
      <c r="K7" s="5"/>
      <c r="L7" s="5"/>
      <c r="M7" s="5"/>
      <c r="N7" s="5"/>
      <c r="O7" s="5"/>
      <c r="P7" s="5"/>
      <c r="Q7" s="5"/>
    </row>
    <row r="8" spans="2:17" x14ac:dyDescent="0.3">
      <c r="B8" s="5"/>
      <c r="C8" s="5"/>
      <c r="D8" s="5"/>
      <c r="E8" s="5"/>
      <c r="F8" s="5"/>
      <c r="G8" s="5"/>
      <c r="H8" s="5"/>
      <c r="I8" s="5"/>
      <c r="J8" s="5"/>
      <c r="K8" s="5"/>
      <c r="L8" s="5"/>
      <c r="M8" s="5"/>
      <c r="N8" s="5"/>
      <c r="O8" s="5"/>
      <c r="P8" s="5"/>
      <c r="Q8" s="5"/>
    </row>
    <row r="9" spans="2:17" x14ac:dyDescent="0.3">
      <c r="B9" s="5"/>
      <c r="C9" s="5"/>
      <c r="D9" s="5"/>
      <c r="E9" s="5"/>
      <c r="F9" s="5"/>
      <c r="G9" s="5"/>
      <c r="H9" s="5"/>
      <c r="I9" s="5"/>
      <c r="J9" s="5"/>
      <c r="K9" s="5"/>
      <c r="L9" s="5"/>
      <c r="M9" s="5"/>
      <c r="N9" s="5"/>
      <c r="O9" s="5"/>
      <c r="P9" s="5"/>
      <c r="Q9" s="5"/>
    </row>
    <row r="10" spans="2:17" x14ac:dyDescent="0.3">
      <c r="B10" s="5"/>
      <c r="C10" s="5"/>
      <c r="D10" s="5"/>
      <c r="E10" s="5"/>
      <c r="F10" s="5"/>
      <c r="G10" s="5"/>
      <c r="H10" s="5"/>
      <c r="I10" s="5"/>
      <c r="J10" s="5"/>
      <c r="K10" s="5"/>
      <c r="L10" s="5"/>
      <c r="M10" s="5"/>
      <c r="N10" s="5"/>
      <c r="O10" s="5"/>
      <c r="P10" s="5"/>
      <c r="Q10" s="5"/>
    </row>
    <row r="11" spans="2:17" x14ac:dyDescent="0.3">
      <c r="B11" s="5"/>
      <c r="C11" s="5"/>
      <c r="D11" s="5"/>
      <c r="E11" s="5"/>
      <c r="F11" s="5"/>
      <c r="G11" s="5"/>
      <c r="H11" s="5"/>
      <c r="I11" s="5"/>
      <c r="J11" s="5"/>
      <c r="K11" s="5"/>
      <c r="L11" s="5"/>
      <c r="M11" s="5"/>
      <c r="N11" s="5"/>
      <c r="O11" s="5"/>
      <c r="P11" s="5"/>
      <c r="Q11" s="5"/>
    </row>
    <row r="12" spans="2:17" x14ac:dyDescent="0.3">
      <c r="B12" s="5"/>
      <c r="C12" s="5"/>
      <c r="D12" s="5"/>
      <c r="E12" s="5"/>
      <c r="F12" s="5"/>
      <c r="G12" s="5"/>
      <c r="H12" s="5"/>
      <c r="I12" s="5"/>
      <c r="J12" s="5"/>
      <c r="K12" s="5"/>
      <c r="L12" s="5"/>
      <c r="M12" s="5"/>
      <c r="N12" s="5"/>
      <c r="O12" s="5"/>
      <c r="P12" s="5"/>
      <c r="Q12" s="5"/>
    </row>
    <row r="13" spans="2:17" x14ac:dyDescent="0.3">
      <c r="B13" s="5"/>
      <c r="C13" s="5"/>
      <c r="D13" s="5"/>
      <c r="E13" s="5"/>
      <c r="F13" s="5"/>
      <c r="G13" s="5"/>
      <c r="H13" s="5"/>
      <c r="I13" s="5"/>
      <c r="J13" s="5"/>
      <c r="K13" s="5"/>
      <c r="L13" s="5"/>
      <c r="M13" s="5"/>
      <c r="N13" s="5"/>
      <c r="O13" s="5"/>
      <c r="P13" s="5"/>
      <c r="Q13" s="5"/>
    </row>
    <row r="14" spans="2:17" x14ac:dyDescent="0.3">
      <c r="B14" s="5"/>
      <c r="C14" s="5"/>
      <c r="D14" s="5"/>
      <c r="E14" s="5"/>
      <c r="F14" s="5"/>
      <c r="G14" s="5"/>
      <c r="H14" s="5"/>
      <c r="I14" s="5"/>
      <c r="J14" s="5"/>
      <c r="K14" s="5"/>
      <c r="L14" s="5"/>
      <c r="M14" s="5"/>
      <c r="N14" s="5"/>
      <c r="O14" s="5"/>
      <c r="P14" s="5"/>
      <c r="Q14" s="5"/>
    </row>
    <row r="15" spans="2:17" x14ac:dyDescent="0.3">
      <c r="B15" s="5"/>
      <c r="C15" s="5"/>
      <c r="D15" s="5"/>
      <c r="E15" s="5"/>
      <c r="F15" s="5"/>
      <c r="G15" s="5"/>
      <c r="H15" s="5"/>
      <c r="I15" s="5"/>
      <c r="J15" s="5"/>
      <c r="K15" s="5"/>
      <c r="L15" s="5"/>
      <c r="M15" s="5"/>
      <c r="N15" s="5"/>
      <c r="O15" s="5"/>
      <c r="P15" s="5"/>
      <c r="Q15" s="5"/>
    </row>
    <row r="16" spans="2:17" x14ac:dyDescent="0.3">
      <c r="B16" s="5"/>
      <c r="C16" s="5"/>
      <c r="D16" s="5"/>
      <c r="E16" s="5"/>
      <c r="F16" s="5"/>
      <c r="G16" s="5"/>
      <c r="H16" s="5"/>
      <c r="I16" s="5"/>
      <c r="J16" s="5"/>
      <c r="K16" s="5"/>
      <c r="L16" s="5"/>
      <c r="M16" s="5"/>
      <c r="N16" s="5"/>
      <c r="O16" s="5"/>
      <c r="P16" s="5"/>
      <c r="Q16" s="5"/>
    </row>
    <row r="17" spans="2:17" x14ac:dyDescent="0.3">
      <c r="B17" s="5"/>
      <c r="C17" s="5"/>
      <c r="D17" s="5"/>
      <c r="E17" s="5"/>
      <c r="F17" s="5"/>
      <c r="G17" s="5"/>
      <c r="H17" s="5"/>
      <c r="I17" s="5"/>
      <c r="J17" s="5"/>
      <c r="K17" s="5"/>
      <c r="L17" s="5"/>
      <c r="M17" s="5"/>
      <c r="N17" s="5"/>
      <c r="O17" s="5"/>
      <c r="P17" s="5"/>
      <c r="Q17" s="5"/>
    </row>
    <row r="18" spans="2:17" x14ac:dyDescent="0.3">
      <c r="B18" s="5"/>
      <c r="C18" s="5"/>
      <c r="D18" s="5"/>
      <c r="E18" s="5"/>
      <c r="F18" s="5"/>
      <c r="G18" s="5"/>
      <c r="H18" s="5"/>
      <c r="I18" s="5"/>
      <c r="J18" s="5"/>
      <c r="K18" s="5"/>
      <c r="L18" s="5"/>
      <c r="M18" s="5"/>
      <c r="N18" s="5"/>
      <c r="O18" s="5"/>
      <c r="P18" s="5"/>
      <c r="Q18" s="5"/>
    </row>
    <row r="19" spans="2:17" x14ac:dyDescent="0.3">
      <c r="B19" s="5"/>
      <c r="C19" s="5"/>
      <c r="D19" s="5"/>
      <c r="E19" s="5"/>
      <c r="F19" s="5"/>
      <c r="G19" s="5"/>
      <c r="H19" s="5"/>
      <c r="I19" s="5"/>
      <c r="J19" s="5"/>
      <c r="K19" s="5"/>
      <c r="L19" s="5"/>
      <c r="M19" s="5"/>
      <c r="N19" s="5"/>
      <c r="O19" s="5"/>
      <c r="P19" s="5"/>
      <c r="Q19" s="5"/>
    </row>
    <row r="20" spans="2:17" x14ac:dyDescent="0.3">
      <c r="B20" s="5"/>
      <c r="C20" s="5"/>
      <c r="D20" s="5"/>
      <c r="E20" s="5"/>
      <c r="F20" s="5"/>
      <c r="G20" s="5"/>
      <c r="H20" s="5"/>
      <c r="I20" s="5"/>
      <c r="J20" s="5"/>
      <c r="K20" s="5"/>
      <c r="L20" s="5"/>
      <c r="M20" s="5"/>
      <c r="N20" s="5"/>
      <c r="O20" s="5"/>
      <c r="P20" s="5"/>
      <c r="Q20" s="5"/>
    </row>
    <row r="21" spans="2:17" x14ac:dyDescent="0.3">
      <c r="B21" s="5"/>
      <c r="C21" s="5"/>
      <c r="D21" s="5"/>
      <c r="E21" s="5"/>
      <c r="F21" s="5"/>
      <c r="G21" s="5"/>
      <c r="H21" s="5"/>
      <c r="I21" s="5"/>
      <c r="J21" s="5"/>
      <c r="K21" s="5"/>
      <c r="L21" s="5"/>
      <c r="M21" s="5"/>
      <c r="N21" s="5"/>
      <c r="O21" s="5"/>
      <c r="P21" s="5"/>
      <c r="Q21" s="5"/>
    </row>
    <row r="22" spans="2:17" x14ac:dyDescent="0.3">
      <c r="B22" s="5"/>
      <c r="C22" s="5"/>
      <c r="D22" s="5"/>
      <c r="E22" s="5"/>
      <c r="F22" s="5"/>
      <c r="G22" s="5"/>
      <c r="H22" s="5"/>
      <c r="I22" s="5"/>
      <c r="J22" s="5"/>
      <c r="K22" s="5"/>
      <c r="L22" s="5"/>
      <c r="M22" s="5"/>
      <c r="N22" s="5"/>
      <c r="O22" s="5"/>
      <c r="P22" s="5"/>
      <c r="Q22" s="5"/>
    </row>
    <row r="23" spans="2:17" x14ac:dyDescent="0.3">
      <c r="B23" s="5"/>
      <c r="C23" s="5"/>
      <c r="D23" s="5"/>
      <c r="E23" s="5"/>
      <c r="F23" s="5"/>
      <c r="G23" s="5"/>
      <c r="H23" s="5"/>
      <c r="I23" s="5"/>
      <c r="J23" s="5"/>
      <c r="K23" s="5"/>
      <c r="L23" s="5"/>
      <c r="M23" s="5"/>
      <c r="N23" s="5"/>
      <c r="O23" s="5"/>
      <c r="P23" s="5"/>
      <c r="Q23" s="5"/>
    </row>
    <row r="24" spans="2:17" x14ac:dyDescent="0.3">
      <c r="B24" s="5"/>
      <c r="C24" s="5"/>
      <c r="D24" s="5"/>
      <c r="E24" s="5"/>
      <c r="F24" s="5"/>
      <c r="G24" s="5"/>
      <c r="H24" s="5"/>
      <c r="I24" s="5"/>
      <c r="J24" s="5"/>
      <c r="K24" s="5"/>
      <c r="L24" s="5"/>
      <c r="M24" s="5"/>
      <c r="N24" s="5"/>
      <c r="O24" s="5"/>
      <c r="P24" s="5"/>
      <c r="Q24" s="5"/>
    </row>
    <row r="25" spans="2:17" x14ac:dyDescent="0.3">
      <c r="B25" s="5"/>
      <c r="C25" s="5"/>
      <c r="D25" s="5"/>
      <c r="E25" s="5"/>
      <c r="F25" s="5"/>
      <c r="G25" s="5"/>
      <c r="H25" s="5"/>
      <c r="I25" s="5"/>
      <c r="J25" s="5"/>
      <c r="K25" s="5"/>
      <c r="L25" s="5"/>
      <c r="M25" s="5"/>
      <c r="N25" s="5"/>
      <c r="O25" s="5"/>
      <c r="P25" s="5"/>
      <c r="Q25" s="5"/>
    </row>
    <row r="26" spans="2:17" x14ac:dyDescent="0.3">
      <c r="B26" s="5"/>
      <c r="C26" s="5"/>
      <c r="D26" s="5"/>
      <c r="E26" s="5"/>
      <c r="F26" s="5"/>
      <c r="G26" s="5"/>
      <c r="H26" s="5"/>
      <c r="I26" s="5"/>
      <c r="J26" s="5"/>
      <c r="K26" s="5"/>
      <c r="L26" s="5"/>
      <c r="M26" s="5"/>
      <c r="N26" s="5"/>
      <c r="O26" s="5"/>
      <c r="P26" s="5"/>
      <c r="Q26" s="5"/>
    </row>
    <row r="27" spans="2:17" x14ac:dyDescent="0.3">
      <c r="B27" s="5"/>
      <c r="C27" s="18" t="s">
        <v>11</v>
      </c>
      <c r="D27" s="18"/>
      <c r="E27" s="18"/>
      <c r="F27" s="18"/>
      <c r="G27" s="18"/>
      <c r="H27" s="18"/>
      <c r="I27" s="18"/>
      <c r="J27" s="18"/>
      <c r="K27" s="18"/>
      <c r="L27" s="18"/>
      <c r="M27" s="18"/>
      <c r="N27" s="18"/>
      <c r="O27" s="18"/>
      <c r="P27" s="18"/>
      <c r="Q27" s="5"/>
    </row>
  </sheetData>
  <mergeCells count="1">
    <mergeCell ref="C27:P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701870D-FF72-47B3-A66F-D5FF2E4821D5}">
  <ds:schemaRefs/>
</ds:datastoreItem>
</file>

<file path=customXml/itemProps2.xml><?xml version="1.0" encoding="utf-8"?>
<ds:datastoreItem xmlns:ds="http://schemas.openxmlformats.org/officeDocument/2006/customXml" ds:itemID="{BE16EFFD-D684-408C-82AD-B03CD9824288}">
  <ds:schemaRefs/>
</ds:datastoreItem>
</file>

<file path=customXml/itemProps3.xml><?xml version="1.0" encoding="utf-8"?>
<ds:datastoreItem xmlns:ds="http://schemas.openxmlformats.org/officeDocument/2006/customXml" ds:itemID="{E3C3E2C4-04AD-4C45-8E8E-75F8FD896AF4}">
  <ds:schemaRefs/>
</ds:datastoreItem>
</file>

<file path=customXml/itemProps4.xml><?xml version="1.0" encoding="utf-8"?>
<ds:datastoreItem xmlns:ds="http://schemas.openxmlformats.org/officeDocument/2006/customXml" ds:itemID="{F9DA023D-2E5A-4B49-8C79-E55F1F05012C}">
  <ds:schemaRefs/>
</ds:datastoreItem>
</file>

<file path=customXml/itemProps5.xml><?xml version="1.0" encoding="utf-8"?>
<ds:datastoreItem xmlns:ds="http://schemas.openxmlformats.org/officeDocument/2006/customXml" ds:itemID="{536EC37B-6E21-4CC4-B6B6-CD745192B21C}">
  <ds:schemaRefs/>
</ds:datastoreItem>
</file>

<file path=customXml/itemProps6.xml><?xml version="1.0" encoding="utf-8"?>
<ds:datastoreItem xmlns:ds="http://schemas.openxmlformats.org/officeDocument/2006/customXml" ds:itemID="{C19A3BD5-3C5B-4EFC-853A-B7F2BADBE444}">
  <ds:schemaRefs/>
</ds:datastoreItem>
</file>

<file path=customXml/itemProps7.xml><?xml version="1.0" encoding="utf-8"?>
<ds:datastoreItem xmlns:ds="http://schemas.openxmlformats.org/officeDocument/2006/customXml" ds:itemID="{58E70FFE-A662-45A5-BC0C-9F34CBFC7E0A}">
  <ds:schemaRefs/>
</ds:datastoreItem>
</file>

<file path=customXml/itemProps8.xml><?xml version="1.0" encoding="utf-8"?>
<ds:datastoreItem xmlns:ds="http://schemas.openxmlformats.org/officeDocument/2006/customXml" ds:itemID="{E6A3C4D5-272E-4C80-A751-757272B26BD0}">
  <ds:schemaRefs/>
</ds:datastoreItem>
</file>

<file path=customXml/itemProps9.xml><?xml version="1.0" encoding="utf-8"?>
<ds:datastoreItem xmlns:ds="http://schemas.openxmlformats.org/officeDocument/2006/customXml" ds:itemID="{4F448B62-CF20-41FA-A7A1-2724440D4662}">
  <ds:schemaRefs/>
</ds:datastoreItem>
</file>

<file path=customXml/itemProps10.xml><?xml version="1.0" encoding="utf-8"?>
<ds:datastoreItem xmlns:ds="http://schemas.openxmlformats.org/officeDocument/2006/customXml" ds:itemID="{FAE56B2C-BFD6-43E2-BAF1-1C58918166C2}">
  <ds:schemaRefs/>
</ds:datastoreItem>
</file>

<file path=customXml/itemProps11.xml><?xml version="1.0" encoding="utf-8"?>
<ds:datastoreItem xmlns:ds="http://schemas.openxmlformats.org/officeDocument/2006/customXml" ds:itemID="{E4321938-9F4D-48ED-8CAF-FFA3EBC32064}">
  <ds:schemaRefs/>
</ds:datastoreItem>
</file>

<file path=customXml/itemProps12.xml><?xml version="1.0" encoding="utf-8"?>
<ds:datastoreItem xmlns:ds="http://schemas.openxmlformats.org/officeDocument/2006/customXml" ds:itemID="{A5C3D33B-4B7D-4C29-B5D9-E10F53D45727}">
  <ds:schemaRefs>
    <ds:schemaRef ds:uri="http://schemas.microsoft.com/DataMashup"/>
  </ds:schemaRefs>
</ds:datastoreItem>
</file>

<file path=customXml/itemProps13.xml><?xml version="1.0" encoding="utf-8"?>
<ds:datastoreItem xmlns:ds="http://schemas.openxmlformats.org/officeDocument/2006/customXml" ds:itemID="{F436FB06-0B87-4271-B714-4B92C3C5759B}">
  <ds:schemaRefs/>
</ds:datastoreItem>
</file>

<file path=customXml/itemProps14.xml><?xml version="1.0" encoding="utf-8"?>
<ds:datastoreItem xmlns:ds="http://schemas.openxmlformats.org/officeDocument/2006/customXml" ds:itemID="{32CFBC2A-55FC-4002-8EE5-75F50EC9429A}">
  <ds:schemaRefs/>
</ds:datastoreItem>
</file>

<file path=customXml/itemProps15.xml><?xml version="1.0" encoding="utf-8"?>
<ds:datastoreItem xmlns:ds="http://schemas.openxmlformats.org/officeDocument/2006/customXml" ds:itemID="{3566CFCB-8CBA-44CF-A2D3-93265AA496FC}">
  <ds:schemaRefs/>
</ds:datastoreItem>
</file>

<file path=customXml/itemProps16.xml><?xml version="1.0" encoding="utf-8"?>
<ds:datastoreItem xmlns:ds="http://schemas.openxmlformats.org/officeDocument/2006/customXml" ds:itemID="{B2CDBFCE-8F35-48C4-BFB5-2851F62AA756}">
  <ds:schemaRefs/>
</ds:datastoreItem>
</file>

<file path=customXml/itemProps17.xml><?xml version="1.0" encoding="utf-8"?>
<ds:datastoreItem xmlns:ds="http://schemas.openxmlformats.org/officeDocument/2006/customXml" ds:itemID="{409454D9-909B-4668-9C1E-4C35D561F045}">
  <ds:schemaRefs/>
</ds:datastoreItem>
</file>

<file path=customXml/itemProps18.xml><?xml version="1.0" encoding="utf-8"?>
<ds:datastoreItem xmlns:ds="http://schemas.openxmlformats.org/officeDocument/2006/customXml" ds:itemID="{476175C5-6D29-4CF8-A524-56AE749E99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Dhanraj</dc:creator>
  <cp:lastModifiedBy>Dhanraj</cp:lastModifiedBy>
  <dcterms:created xsi:type="dcterms:W3CDTF">2026-03-23T12:30:18Z</dcterms:created>
  <dcterms:modified xsi:type="dcterms:W3CDTF">2026-03-25T13:13:30Z</dcterms:modified>
</cp:coreProperties>
</file>